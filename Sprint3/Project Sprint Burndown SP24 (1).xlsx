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linge\Documents\Classes\2023FALL\MIS4173\Assignments\Team Project\"/>
    </mc:Choice>
  </mc:AlternateContent>
  <xr:revisionPtr revIDLastSave="176" documentId="8_{2687C255-098A-45D2-8AFD-87D24C015C7F}" xr6:coauthVersionLast="47" xr6:coauthVersionMax="47" xr10:uidLastSave="{A90B854E-46FA-4A13-9207-47C5F00B565F}"/>
  <bookViews>
    <workbookView xWindow="28680" yWindow="-120" windowWidth="29040" windowHeight="15840" tabRatio="944" firstSheet="2" activeTab="4" xr2:uid="{047EDA12-5405-40A6-80B7-7E930EF3BD47}"/>
  </bookViews>
  <sheets>
    <sheet name="Sprint 1 Burndown" sheetId="1" r:id="rId1"/>
    <sheet name="Sprint 1 BD Chart" sheetId="7" r:id="rId2"/>
    <sheet name="Sprint 2 Burndown" sheetId="2" r:id="rId3"/>
    <sheet name="Sprint 2 BD Chart" sheetId="8" r:id="rId4"/>
    <sheet name="Sprint 3 Burndown" sheetId="3" r:id="rId5"/>
    <sheet name="Sprint 3 BD Chart" sheetId="9" r:id="rId6"/>
    <sheet name="Sprint 4 Burndown" sheetId="4" r:id="rId7"/>
    <sheet name="Sprint 4 BD Chart" sheetId="10" r:id="rId8"/>
    <sheet name="Sprint 5 Burndown" sheetId="5" r:id="rId9"/>
    <sheet name="Sprint 5 BD Chart" sheetId="11" r:id="rId10"/>
    <sheet name="Sprint 6 Burndown" sheetId="6" r:id="rId11"/>
    <sheet name="Sprint 6 BD Chart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4" l="1"/>
  <c r="F28" i="4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D28" i="4"/>
  <c r="S5" i="6"/>
  <c r="S4" i="6"/>
  <c r="S3" i="6"/>
  <c r="S2" i="6"/>
  <c r="S5" i="5"/>
  <c r="S4" i="5"/>
  <c r="S3" i="5"/>
  <c r="S2" i="5"/>
  <c r="Z5" i="4"/>
  <c r="Z4" i="4"/>
  <c r="Z3" i="4"/>
  <c r="Z2" i="4"/>
  <c r="Z5" i="3"/>
  <c r="Z4" i="3"/>
  <c r="Z3" i="3"/>
  <c r="Z2" i="3"/>
  <c r="S3" i="2"/>
  <c r="S4" i="2"/>
  <c r="S5" i="2"/>
  <c r="S2" i="2"/>
  <c r="T6" i="6"/>
  <c r="U14" i="6" s="1"/>
  <c r="T6" i="5"/>
  <c r="U13" i="6" s="1"/>
  <c r="AA6" i="4"/>
  <c r="U12" i="6" s="1"/>
  <c r="AA6" i="3"/>
  <c r="U11" i="6" s="1"/>
  <c r="T6" i="2"/>
  <c r="U10" i="6" s="1"/>
  <c r="T6" i="1"/>
  <c r="U9" i="6" s="1"/>
  <c r="C27" i="6"/>
  <c r="D27" i="6" s="1"/>
  <c r="E27" i="6" s="1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C27" i="5"/>
  <c r="C28" i="5" s="1"/>
  <c r="D28" i="5" s="1"/>
  <c r="E28" i="5" s="1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C27" i="4"/>
  <c r="C28" i="4" s="1"/>
  <c r="C27" i="3"/>
  <c r="C28" i="3" s="1"/>
  <c r="D28" i="3" s="1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C27" i="2"/>
  <c r="C28" i="2" s="1"/>
  <c r="D28" i="2" s="1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C27" i="1"/>
  <c r="C28" i="1" s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C28" i="6" l="1"/>
  <c r="D28" i="6" s="1"/>
  <c r="E28" i="6" s="1"/>
  <c r="F28" i="6" s="1"/>
  <c r="G28" i="6" s="1"/>
  <c r="H28" i="6" s="1"/>
  <c r="I28" i="6" s="1"/>
  <c r="J28" i="6" s="1"/>
  <c r="K28" i="6" s="1"/>
  <c r="L28" i="6" s="1"/>
  <c r="M28" i="6" s="1"/>
  <c r="N28" i="6" s="1"/>
  <c r="O28" i="6" s="1"/>
  <c r="P28" i="6" s="1"/>
  <c r="Q28" i="6" s="1"/>
  <c r="U15" i="6"/>
  <c r="D27" i="5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D27" i="4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D27" i="3"/>
  <c r="E27" i="3" s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D27" i="2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</calcChain>
</file>

<file path=xl/sharedStrings.xml><?xml version="1.0" encoding="utf-8"?>
<sst xmlns="http://schemas.openxmlformats.org/spreadsheetml/2006/main" count="179" uniqueCount="60">
  <si>
    <t>Backlog Item ID</t>
  </si>
  <si>
    <t>User Stories / Requirements / Bugs</t>
  </si>
  <si>
    <t>Estimated Time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</si>
  <si>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</si>
  <si>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</si>
  <si>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</si>
  <si>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</si>
  <si>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</si>
  <si>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</si>
  <si>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</si>
  <si>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</si>
  <si>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</si>
  <si>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</si>
  <si>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</si>
  <si>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</si>
  <si>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</si>
  <si>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</si>
  <si>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Team Member</t>
  </si>
  <si>
    <t>Total Time</t>
  </si>
  <si>
    <t>Define Project Scope and Objectives</t>
  </si>
  <si>
    <t>Jackson</t>
  </si>
  <si>
    <t>Identify Systems Requirements</t>
  </si>
  <si>
    <t>Austin</t>
  </si>
  <si>
    <t>Develop Context Diagram &amp; Use Case Diagram</t>
  </si>
  <si>
    <t>Christian</t>
  </si>
  <si>
    <t>Identify Key System Users</t>
  </si>
  <si>
    <t>Carson</t>
  </si>
  <si>
    <t>Research Potential Security Risks</t>
  </si>
  <si>
    <t>Total Team Time</t>
  </si>
  <si>
    <t>Remaining Effort</t>
  </si>
  <si>
    <t>Ideal Effort</t>
  </si>
  <si>
    <t>Incorporate Feedback</t>
  </si>
  <si>
    <t>Design the Entity-Relationship Diagram</t>
  </si>
  <si>
    <t>Create Database Schema</t>
  </si>
  <si>
    <t>Design User Authentication</t>
  </si>
  <si>
    <t>Update Diagrams</t>
  </si>
  <si>
    <t>Design &amp; Document Non-Functional Requirements</t>
  </si>
  <si>
    <t>Develop Sprint 2 Burndown Chart &amp; Backlog</t>
  </si>
  <si>
    <t>Day 15</t>
  </si>
  <si>
    <t>Day 16</t>
  </si>
  <si>
    <t>Day 17</t>
  </si>
  <si>
    <t>Day 18</t>
  </si>
  <si>
    <t>Day 19</t>
  </si>
  <si>
    <t>Day 20</t>
  </si>
  <si>
    <t>Day 21</t>
  </si>
  <si>
    <t>Develop Homepage</t>
  </si>
  <si>
    <t>Create Customer Registration</t>
  </si>
  <si>
    <t>Create DFD's Level 0 &amp; 1</t>
  </si>
  <si>
    <t>Design Dashboard</t>
  </si>
  <si>
    <t>Design Program Plan (IPO)</t>
  </si>
  <si>
    <t>Develop Navigation Diagram</t>
  </si>
  <si>
    <t>Design Error Handling</t>
  </si>
  <si>
    <t>Create Sprint 3 Burndown Chart &amp; Backlogs</t>
  </si>
  <si>
    <t>Total Project Time</t>
  </si>
  <si>
    <t>Sprint 1</t>
  </si>
  <si>
    <t>Sprint 2</t>
  </si>
  <si>
    <t>Sprint 3</t>
  </si>
  <si>
    <t>Sprint 4</t>
  </si>
  <si>
    <t>Sprint 5</t>
  </si>
  <si>
    <t>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</si>
</sst>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6.xml"/><Relationship Id="rId1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6.xml"/><Relationship Id="rId5" Type="http://schemas.openxmlformats.org/officeDocument/2006/relationships/worksheet" Target="worksheets/sheet3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5.xml"/><Relationship Id="rId19" Type="http://schemas.openxmlformats.org/officeDocument/2006/relationships/customXml" Target="../customXml/item3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1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1 Burndown'!$C$27:$Q$27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2-4C50-8F3F-0C5C5A77F0B8}"/>
            </c:ext>
          </c:extLst>
        </c:ser>
        <c:ser>
          <c:idx val="1"/>
          <c:order val="1"/>
          <c:tx>
            <c:strRef>
              <c:f>'Sprint 1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1 Burndown'!$C$28:$Q$28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02-4C50-8F3F-0C5C5A77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055584"/>
        <c:axId val="516019664"/>
      </c:lineChart>
      <c:catAx>
        <c:axId val="505055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19664"/>
        <c:crosses val="autoZero"/>
        <c:auto val="1"/>
        <c:lblAlgn val="ctr"/>
        <c:lblOffset val="100"/>
        <c:noMultiLvlLbl val="0"/>
      </c:catAx>
      <c:valAx>
        <c:axId val="5160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2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2 Burndown'!$C$27:$Q$27</c:f>
              <c:numCache>
                <c:formatCode>General</c:formatCode>
                <c:ptCount val="15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05-42E7-84D9-6C1D12319C91}"/>
            </c:ext>
          </c:extLst>
        </c:ser>
        <c:ser>
          <c:idx val="1"/>
          <c:order val="1"/>
          <c:tx>
            <c:strRef>
              <c:f>'Sprint 2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2 Burndown'!$C$28:$Q$28</c:f>
              <c:numCache>
                <c:formatCode>0</c:formatCode>
                <c:ptCount val="15"/>
                <c:pt idx="0" formatCode="General">
                  <c:v>21</c:v>
                </c:pt>
                <c:pt idx="1">
                  <c:v>19.5</c:v>
                </c:pt>
                <c:pt idx="2">
                  <c:v>18</c:v>
                </c:pt>
                <c:pt idx="3">
                  <c:v>16.5</c:v>
                </c:pt>
                <c:pt idx="4">
                  <c:v>15</c:v>
                </c:pt>
                <c:pt idx="5">
                  <c:v>13.5</c:v>
                </c:pt>
                <c:pt idx="6">
                  <c:v>12</c:v>
                </c:pt>
                <c:pt idx="7">
                  <c:v>10.5</c:v>
                </c:pt>
                <c:pt idx="8">
                  <c:v>9</c:v>
                </c:pt>
                <c:pt idx="9">
                  <c:v>7.5</c:v>
                </c:pt>
                <c:pt idx="10">
                  <c:v>6</c:v>
                </c:pt>
                <c:pt idx="11">
                  <c:v>4.5</c:v>
                </c:pt>
                <c:pt idx="12">
                  <c:v>3</c:v>
                </c:pt>
                <c:pt idx="13">
                  <c:v>1.5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05-42E7-84D9-6C1D12319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944976"/>
        <c:axId val="647228592"/>
      </c:lineChart>
      <c:catAx>
        <c:axId val="3619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28592"/>
        <c:crosses val="autoZero"/>
        <c:auto val="1"/>
        <c:lblAlgn val="ctr"/>
        <c:lblOffset val="100"/>
        <c:noMultiLvlLbl val="0"/>
      </c:catAx>
      <c:valAx>
        <c:axId val="6472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3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3 Burndown'!$C$27:$X$27</c:f>
              <c:numCache>
                <c:formatCode>General</c:formatCode>
                <c:ptCount val="22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2-4BE1-A51C-0E96500DEF08}"/>
            </c:ext>
          </c:extLst>
        </c:ser>
        <c:ser>
          <c:idx val="1"/>
          <c:order val="1"/>
          <c:tx>
            <c:strRef>
              <c:f>'Sprint 3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3 Burndown'!$C$28:$X$28</c:f>
              <c:numCache>
                <c:formatCode>0</c:formatCode>
                <c:ptCount val="22"/>
                <c:pt idx="0" formatCode="General">
                  <c:v>23</c:v>
                </c:pt>
                <c:pt idx="1">
                  <c:v>21.904761904761905</c:v>
                </c:pt>
                <c:pt idx="2">
                  <c:v>20.80952380952381</c:v>
                </c:pt>
                <c:pt idx="3">
                  <c:v>19.714285714285715</c:v>
                </c:pt>
                <c:pt idx="4">
                  <c:v>18.61904761904762</c:v>
                </c:pt>
                <c:pt idx="5">
                  <c:v>17.523809523809526</c:v>
                </c:pt>
                <c:pt idx="6">
                  <c:v>16.428571428571431</c:v>
                </c:pt>
                <c:pt idx="7">
                  <c:v>15.333333333333336</c:v>
                </c:pt>
                <c:pt idx="8">
                  <c:v>14.238095238095241</c:v>
                </c:pt>
                <c:pt idx="9">
                  <c:v>13.142857142857146</c:v>
                </c:pt>
                <c:pt idx="10">
                  <c:v>12.047619047619051</c:v>
                </c:pt>
                <c:pt idx="11">
                  <c:v>10.952380952380956</c:v>
                </c:pt>
                <c:pt idx="12">
                  <c:v>9.8571428571428612</c:v>
                </c:pt>
                <c:pt idx="13">
                  <c:v>8.7619047619047663</c:v>
                </c:pt>
                <c:pt idx="14">
                  <c:v>7.6666666666666714</c:v>
                </c:pt>
                <c:pt idx="15">
                  <c:v>6.5714285714285765</c:v>
                </c:pt>
                <c:pt idx="16">
                  <c:v>5.4761904761904816</c:v>
                </c:pt>
                <c:pt idx="17">
                  <c:v>4.3809523809523867</c:v>
                </c:pt>
                <c:pt idx="18">
                  <c:v>3.2857142857142914</c:v>
                </c:pt>
                <c:pt idx="19">
                  <c:v>2.190476190476196</c:v>
                </c:pt>
                <c:pt idx="20">
                  <c:v>1.0952380952381007</c:v>
                </c:pt>
                <c:pt idx="21">
                  <c:v>5.3290705182007514E-15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2-4BE1-A51C-0E96500D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30192"/>
        <c:axId val="1600942576"/>
      </c:lineChart>
      <c:catAx>
        <c:axId val="48503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42576"/>
        <c:crosses val="autoZero"/>
        <c:auto val="1"/>
        <c:lblAlgn val="ctr"/>
        <c:lblOffset val="100"/>
        <c:noMultiLvlLbl val="0"/>
      </c:catAx>
      <c:valAx>
        <c:axId val="16009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4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4 Burndown'!$C$27:$X$27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3-44C5-9457-EA96D26765EA}"/>
            </c:ext>
          </c:extLst>
        </c:ser>
        <c:ser>
          <c:idx val="1"/>
          <c:order val="1"/>
          <c:tx>
            <c:strRef>
              <c:f>'Sprint 4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4 Burndown'!$C$28:$X$28</c:f>
              <c:numCache>
                <c:formatCode>0</c:formatCode>
                <c:ptCount val="2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3-44C5-9457-EA96D2676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833008"/>
        <c:axId val="334114688"/>
      </c:lineChart>
      <c:catAx>
        <c:axId val="33183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14688"/>
        <c:crosses val="autoZero"/>
        <c:auto val="1"/>
        <c:lblAlgn val="ctr"/>
        <c:lblOffset val="100"/>
        <c:noMultiLvlLbl val="0"/>
      </c:catAx>
      <c:valAx>
        <c:axId val="3341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3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5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5 Burndown'!$C$27:$Q$27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2-4C4D-950C-60EF00428576}"/>
            </c:ext>
          </c:extLst>
        </c:ser>
        <c:ser>
          <c:idx val="1"/>
          <c:order val="1"/>
          <c:tx>
            <c:strRef>
              <c:f>'Sprint 5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5 Burndown'!$C$28:$Q$28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2-4C4D-950C-60EF00428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24592"/>
        <c:axId val="645635680"/>
      </c:lineChart>
      <c:catAx>
        <c:axId val="48502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635680"/>
        <c:crosses val="autoZero"/>
        <c:auto val="1"/>
        <c:lblAlgn val="ctr"/>
        <c:lblOffset val="100"/>
        <c:noMultiLvlLbl val="0"/>
      </c:catAx>
      <c:valAx>
        <c:axId val="6456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2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6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6 Burndown'!$C$27:$Q$27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C-4F66-83FD-A18C02821A6B}"/>
            </c:ext>
          </c:extLst>
        </c:ser>
        <c:ser>
          <c:idx val="1"/>
          <c:order val="1"/>
          <c:tx>
            <c:strRef>
              <c:f>'Sprint 6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6 Burndown'!$C$28:$Q$28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C-4F66-83FD-A18C02821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200528"/>
        <c:axId val="652871888"/>
      </c:lineChart>
      <c:catAx>
        <c:axId val="480200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71888"/>
        <c:crosses val="autoZero"/>
        <c:auto val="1"/>
        <c:lblAlgn val="ctr"/>
        <c:lblOffset val="100"/>
        <c:noMultiLvlLbl val="0"/>
      </c:catAx>
      <c:valAx>
        <c:axId val="6528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0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E1E9CB-5F58-488B-AAE1-5F6BA4FBED6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BCC576-450C-4E39-A07A-563A388777B7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42795D-EE08-473F-B4C4-051A7E38672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12E4C7-DDC2-412F-AECF-D838A7E0B2BE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68E9DD-6FC2-4D31-94A1-D927E6AA53DD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131C60-C36B-4ACA-B3CA-997C984F9CAC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8F4DC-478D-4037-B4B3-3E6AD96B10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8FDFE-A514-4CAB-9EEA-47F892F57B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04A56-3F3E-4E03-984B-58060E0E18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882C0-8B9E-46EB-BF9C-5F42D57565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B797E-C264-457A-A2FD-3DD1EC2CCD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D4198-423B-4E4D-A055-3AAEB3CD4A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51A7-8BEF-490D-8DA1-3398C39255BB}">
  <dimension ref="A1:V28"/>
  <sheetViews>
    <sheetView workbookViewId="0">
      <selection activeCell="B15" sqref="B15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>
        <v>1</v>
      </c>
      <c r="B2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">
        <v>20</v>
      </c>
      <c r="T2" s="2"/>
    </row>
    <row r="3" spans="1:22">
      <c r="A3">
        <v>2</v>
      </c>
      <c r="B3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">
        <v>22</v>
      </c>
      <c r="T3" s="2"/>
    </row>
    <row r="4" spans="1:22">
      <c r="A4">
        <v>3</v>
      </c>
      <c r="B4" t="s">
        <v>23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t="s">
        <v>24</v>
      </c>
      <c r="T4" s="2"/>
    </row>
    <row r="5" spans="1:22">
      <c r="A5">
        <v>4</v>
      </c>
      <c r="B5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t="s">
        <v>26</v>
      </c>
      <c r="T5" s="2"/>
    </row>
    <row r="6" spans="1:22">
      <c r="A6">
        <v>5</v>
      </c>
      <c r="B6" t="s">
        <v>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T6" s="6">
        <f>SUM(T2:T5)</f>
        <v>0</v>
      </c>
      <c r="U6" s="10" t="s">
        <v>28</v>
      </c>
      <c r="V6" s="10"/>
    </row>
    <row r="7" spans="1:2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</row>
    <row r="28" spans="1:17">
      <c r="A28" s="9" t="s">
        <v>30</v>
      </c>
      <c r="B28" s="9"/>
      <c r="C28" s="4">
        <f>C27</f>
        <v>0</v>
      </c>
      <c r="D28" s="5">
        <f>C28-($C$27/14)</f>
        <v>0</v>
      </c>
      <c r="E28" s="5">
        <f t="shared" ref="E28:Q28" si="1">D28-($C$27/14)</f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</v>
      </c>
      <c r="P28" s="5">
        <f t="shared" si="1"/>
        <v>0</v>
      </c>
      <c r="Q28" s="5">
        <f t="shared" si="1"/>
        <v>0</v>
      </c>
    </row>
  </sheetData>
  <mergeCells count="3">
    <mergeCell ref="A27:B27"/>
    <mergeCell ref="A28:B28"/>
    <mergeCell ref="U6:V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97B9-D4AC-4342-8638-734C7B940A6A}">
  <dimension ref="A1:V28"/>
  <sheetViews>
    <sheetView workbookViewId="0">
      <selection activeCell="R14" sqref="R14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>
        <v>6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>
        <v>5</v>
      </c>
    </row>
    <row r="3" spans="1:22">
      <c r="A3" s="2">
        <v>7</v>
      </c>
      <c r="B3" t="s">
        <v>32</v>
      </c>
      <c r="C3" s="2">
        <v>3</v>
      </c>
      <c r="D3" s="2"/>
      <c r="E3" s="2"/>
      <c r="F3" s="2"/>
      <c r="G3" s="2">
        <v>1</v>
      </c>
      <c r="H3" s="2">
        <v>2</v>
      </c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>
        <v>5</v>
      </c>
    </row>
    <row r="4" spans="1:22">
      <c r="A4" s="2">
        <v>8</v>
      </c>
      <c r="B4" t="s">
        <v>33</v>
      </c>
      <c r="C4" s="2">
        <v>4</v>
      </c>
      <c r="D4" s="2"/>
      <c r="E4" s="2"/>
      <c r="F4" s="2"/>
      <c r="G4" s="2"/>
      <c r="H4" s="2"/>
      <c r="I4" s="2">
        <v>2</v>
      </c>
      <c r="J4" s="2">
        <v>2</v>
      </c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>
        <v>7</v>
      </c>
    </row>
    <row r="5" spans="1:22">
      <c r="A5" s="2">
        <v>9</v>
      </c>
      <c r="B5" t="s">
        <v>34</v>
      </c>
      <c r="C5" s="2">
        <v>4</v>
      </c>
      <c r="D5" s="2"/>
      <c r="E5" s="2"/>
      <c r="F5" s="2"/>
      <c r="G5" s="2"/>
      <c r="H5" s="2"/>
      <c r="I5" s="2"/>
      <c r="J5" s="2"/>
      <c r="K5" s="2">
        <v>1</v>
      </c>
      <c r="L5" s="2">
        <v>1</v>
      </c>
      <c r="M5" s="2">
        <v>2</v>
      </c>
      <c r="N5" s="2"/>
      <c r="O5" s="2"/>
      <c r="P5" s="2"/>
      <c r="Q5" s="2"/>
      <c r="S5" t="str">
        <f>'Sprint 1 Burndown'!S5</f>
        <v>Carson</v>
      </c>
      <c r="T5" s="2">
        <v>4</v>
      </c>
    </row>
    <row r="6" spans="1:22">
      <c r="A6" s="2">
        <v>10</v>
      </c>
      <c r="B6" t="s">
        <v>35</v>
      </c>
      <c r="C6" s="2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>
        <v>2</v>
      </c>
      <c r="O6" s="2"/>
      <c r="P6" s="2"/>
      <c r="Q6" s="2"/>
      <c r="T6" s="6">
        <f>SUM(T2:T5)</f>
        <v>21</v>
      </c>
      <c r="U6" s="10" t="s">
        <v>28</v>
      </c>
      <c r="V6" s="10"/>
    </row>
    <row r="7" spans="1:22" ht="30.75">
      <c r="A7" s="2">
        <v>11</v>
      </c>
      <c r="B7" s="8" t="s">
        <v>36</v>
      </c>
      <c r="C7" s="2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>
        <v>1</v>
      </c>
      <c r="P7" s="2">
        <v>2</v>
      </c>
      <c r="Q7" s="2"/>
    </row>
    <row r="8" spans="1:22">
      <c r="A8" s="2">
        <v>12</v>
      </c>
      <c r="B8" t="s">
        <v>37</v>
      </c>
      <c r="C8" s="2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2</v>
      </c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21</v>
      </c>
      <c r="D27" s="3">
        <f t="shared" ref="D27:Q27" si="0">C27-SUM(D2:D26)</f>
        <v>20</v>
      </c>
      <c r="E27" s="3">
        <f t="shared" si="0"/>
        <v>19</v>
      </c>
      <c r="F27" s="3">
        <f t="shared" si="0"/>
        <v>18</v>
      </c>
      <c r="G27" s="3">
        <f t="shared" si="0"/>
        <v>17</v>
      </c>
      <c r="H27" s="3">
        <f t="shared" si="0"/>
        <v>15</v>
      </c>
      <c r="I27" s="3">
        <f t="shared" si="0"/>
        <v>13</v>
      </c>
      <c r="J27" s="3">
        <f t="shared" si="0"/>
        <v>11</v>
      </c>
      <c r="K27" s="3">
        <f t="shared" si="0"/>
        <v>10</v>
      </c>
      <c r="L27" s="3">
        <f t="shared" si="0"/>
        <v>9</v>
      </c>
      <c r="M27" s="3">
        <f t="shared" si="0"/>
        <v>7</v>
      </c>
      <c r="N27" s="3">
        <f t="shared" si="0"/>
        <v>5</v>
      </c>
      <c r="O27" s="3">
        <f t="shared" si="0"/>
        <v>4</v>
      </c>
      <c r="P27" s="3">
        <f t="shared" si="0"/>
        <v>2</v>
      </c>
      <c r="Q27" s="3">
        <f t="shared" si="0"/>
        <v>0</v>
      </c>
    </row>
    <row r="28" spans="1:17">
      <c r="A28" s="9" t="s">
        <v>30</v>
      </c>
      <c r="B28" s="9"/>
      <c r="C28" s="4">
        <f>C27</f>
        <v>21</v>
      </c>
      <c r="D28" s="5">
        <f>C28-($C$27/14)</f>
        <v>19.5</v>
      </c>
      <c r="E28" s="5">
        <f t="shared" ref="E28:Q28" si="1">D28-($C$27/14)</f>
        <v>18</v>
      </c>
      <c r="F28" s="5">
        <f t="shared" si="1"/>
        <v>16.5</v>
      </c>
      <c r="G28" s="5">
        <f t="shared" si="1"/>
        <v>15</v>
      </c>
      <c r="H28" s="5">
        <f t="shared" si="1"/>
        <v>13.5</v>
      </c>
      <c r="I28" s="5">
        <f t="shared" si="1"/>
        <v>12</v>
      </c>
      <c r="J28" s="5">
        <f t="shared" si="1"/>
        <v>10.5</v>
      </c>
      <c r="K28" s="5">
        <f t="shared" si="1"/>
        <v>9</v>
      </c>
      <c r="L28" s="5">
        <f t="shared" si="1"/>
        <v>7.5</v>
      </c>
      <c r="M28" s="5">
        <f t="shared" si="1"/>
        <v>6</v>
      </c>
      <c r="N28" s="5">
        <f t="shared" si="1"/>
        <v>4.5</v>
      </c>
      <c r="O28" s="5">
        <f t="shared" si="1"/>
        <v>3</v>
      </c>
      <c r="P28" s="5">
        <f t="shared" si="1"/>
        <v>1.5</v>
      </c>
      <c r="Q28" s="5">
        <f t="shared" si="1"/>
        <v>0</v>
      </c>
    </row>
  </sheetData>
  <mergeCells count="3">
    <mergeCell ref="A27:B27"/>
    <mergeCell ref="A28:B28"/>
    <mergeCell ref="U6:V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7FC1-0557-4FA8-BF8C-C646D0C77084}">
  <dimension ref="A1:AC28"/>
  <sheetViews>
    <sheetView tabSelected="1" topLeftCell="R1" workbookViewId="0">
      <selection activeCell="AA11" sqref="AA11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25" max="25" width="3.5703125" customWidth="1"/>
    <col min="26" max="26" width="14.28515625" customWidth="1"/>
  </cols>
  <sheetData>
    <row r="1" spans="1:2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Z1" s="1" t="s">
        <v>17</v>
      </c>
      <c r="AA1" s="1" t="s">
        <v>18</v>
      </c>
    </row>
    <row r="2" spans="1:29">
      <c r="A2" s="2">
        <v>13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t="str">
        <f>'Sprint 1 Burndown'!S2</f>
        <v>Jackson</v>
      </c>
      <c r="AA2" s="2">
        <v>5</v>
      </c>
    </row>
    <row r="3" spans="1:29">
      <c r="A3" s="2">
        <v>14</v>
      </c>
      <c r="B3" t="s">
        <v>45</v>
      </c>
      <c r="C3" s="2">
        <v>2</v>
      </c>
      <c r="D3" s="2"/>
      <c r="E3" s="2"/>
      <c r="F3" s="2"/>
      <c r="G3" s="2">
        <v>1</v>
      </c>
      <c r="H3" s="2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t="str">
        <f>'Sprint 1 Burndown'!S3</f>
        <v>Austin</v>
      </c>
      <c r="AA3" s="2">
        <v>6</v>
      </c>
    </row>
    <row r="4" spans="1:29">
      <c r="A4" s="2">
        <v>15</v>
      </c>
      <c r="B4" t="s">
        <v>46</v>
      </c>
      <c r="C4" s="2">
        <v>2</v>
      </c>
      <c r="D4" s="2"/>
      <c r="E4" s="2"/>
      <c r="F4" s="2"/>
      <c r="G4" s="2"/>
      <c r="H4" s="2"/>
      <c r="I4" s="2">
        <v>0</v>
      </c>
      <c r="J4" s="2">
        <v>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t="str">
        <f>'Sprint 1 Burndown'!S4</f>
        <v>Christian</v>
      </c>
      <c r="AA4" s="2">
        <v>5</v>
      </c>
    </row>
    <row r="5" spans="1:29">
      <c r="A5" s="2">
        <v>16</v>
      </c>
      <c r="B5" t="s">
        <v>47</v>
      </c>
      <c r="C5" s="2">
        <v>4</v>
      </c>
      <c r="D5" s="2"/>
      <c r="E5" s="2"/>
      <c r="F5" s="2"/>
      <c r="G5" s="2"/>
      <c r="H5" s="2"/>
      <c r="I5" s="2"/>
      <c r="J5" s="2"/>
      <c r="K5" s="2">
        <v>3</v>
      </c>
      <c r="L5" s="2">
        <v>1</v>
      </c>
      <c r="M5" s="2">
        <v>0</v>
      </c>
      <c r="N5" s="2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Z5" t="str">
        <f>'Sprint 1 Burndown'!S5</f>
        <v>Carson</v>
      </c>
      <c r="AA5" s="2">
        <v>5</v>
      </c>
    </row>
    <row r="6" spans="1:29">
      <c r="A6" s="2">
        <v>17</v>
      </c>
      <c r="B6" t="s">
        <v>48</v>
      </c>
      <c r="C6" s="2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AA6" s="6">
        <f>SUM(AA2:AA5)</f>
        <v>21</v>
      </c>
      <c r="AB6" s="10" t="s">
        <v>28</v>
      </c>
      <c r="AC6" s="10"/>
    </row>
    <row r="7" spans="1:29">
      <c r="A7" s="2">
        <v>18</v>
      </c>
      <c r="B7" t="s">
        <v>49</v>
      </c>
      <c r="C7" s="2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2</v>
      </c>
      <c r="Q7" s="2">
        <v>0</v>
      </c>
      <c r="R7" s="2">
        <v>2</v>
      </c>
      <c r="S7" s="2">
        <v>0</v>
      </c>
      <c r="T7" s="2"/>
      <c r="U7" s="2"/>
      <c r="V7" s="2"/>
      <c r="W7" s="2"/>
      <c r="X7" s="2"/>
    </row>
    <row r="8" spans="1:29">
      <c r="A8" s="2">
        <v>19</v>
      </c>
      <c r="B8" t="s">
        <v>50</v>
      </c>
      <c r="C8" s="2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1</v>
      </c>
      <c r="U8" s="2">
        <v>2</v>
      </c>
      <c r="V8" s="2"/>
      <c r="W8" s="2"/>
      <c r="X8" s="2"/>
    </row>
    <row r="9" spans="1:29">
      <c r="A9" s="2">
        <v>20</v>
      </c>
      <c r="B9" t="s">
        <v>51</v>
      </c>
      <c r="C9" s="2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>
        <v>1</v>
      </c>
      <c r="W9" s="2">
        <v>1</v>
      </c>
      <c r="X9" s="2"/>
    </row>
    <row r="10" spans="1:29">
      <c r="A10" s="2">
        <v>21</v>
      </c>
      <c r="B10" t="s">
        <v>52</v>
      </c>
      <c r="C10" s="2">
        <v>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v>1</v>
      </c>
      <c r="X10" s="2">
        <v>2</v>
      </c>
    </row>
    <row r="11" spans="1:29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9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9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9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9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9" t="s">
        <v>29</v>
      </c>
      <c r="B27" s="9"/>
      <c r="C27" s="3">
        <f>SUM(C2:C26)</f>
        <v>23</v>
      </c>
      <c r="D27" s="3">
        <f t="shared" ref="D27:Q27" si="0">C27-SUM(D2:D26)</f>
        <v>22</v>
      </c>
      <c r="E27" s="3">
        <f t="shared" si="0"/>
        <v>21</v>
      </c>
      <c r="F27" s="3">
        <f t="shared" si="0"/>
        <v>20</v>
      </c>
      <c r="G27" s="3">
        <f t="shared" si="0"/>
        <v>19</v>
      </c>
      <c r="H27" s="3">
        <f t="shared" si="0"/>
        <v>18</v>
      </c>
      <c r="I27" s="3">
        <f t="shared" si="0"/>
        <v>18</v>
      </c>
      <c r="J27" s="3">
        <f t="shared" si="0"/>
        <v>16</v>
      </c>
      <c r="K27" s="3">
        <f t="shared" si="0"/>
        <v>13</v>
      </c>
      <c r="L27" s="3">
        <f t="shared" si="0"/>
        <v>12</v>
      </c>
      <c r="M27" s="3">
        <f t="shared" si="0"/>
        <v>12</v>
      </c>
      <c r="N27" s="3">
        <f t="shared" si="0"/>
        <v>12</v>
      </c>
      <c r="O27" s="3">
        <f t="shared" si="0"/>
        <v>11</v>
      </c>
      <c r="P27" s="3">
        <f t="shared" si="0"/>
        <v>9</v>
      </c>
      <c r="Q27" s="3">
        <f t="shared" si="0"/>
        <v>9</v>
      </c>
      <c r="R27" s="3">
        <f t="shared" ref="R27" si="1">Q27-SUM(R2:R26)</f>
        <v>7</v>
      </c>
      <c r="S27" s="3">
        <f t="shared" ref="S27" si="2">R27-SUM(S2:S26)</f>
        <v>7</v>
      </c>
      <c r="T27" s="3">
        <f t="shared" ref="T27" si="3">S27-SUM(T2:T26)</f>
        <v>6</v>
      </c>
      <c r="U27" s="3">
        <f t="shared" ref="U27" si="4">T27-SUM(U2:U26)</f>
        <v>4</v>
      </c>
      <c r="V27" s="3">
        <f t="shared" ref="V27" si="5">U27-SUM(V2:V26)</f>
        <v>3</v>
      </c>
      <c r="W27" s="3">
        <f t="shared" ref="W27" si="6">V27-SUM(W2:W26)</f>
        <v>1</v>
      </c>
      <c r="X27" s="3">
        <f t="shared" ref="X27" si="7">W27-SUM(X2:X26)</f>
        <v>-1</v>
      </c>
    </row>
    <row r="28" spans="1:24">
      <c r="A28" s="9" t="s">
        <v>30</v>
      </c>
      <c r="B28" s="9"/>
      <c r="C28" s="4">
        <f>C27</f>
        <v>23</v>
      </c>
      <c r="D28" s="5">
        <f>C28-($C$27/21)</f>
        <v>21.904761904761905</v>
      </c>
      <c r="E28" s="5">
        <f t="shared" ref="E28:X28" si="8">D28-($C$27/21)</f>
        <v>20.80952380952381</v>
      </c>
      <c r="F28" s="5">
        <f t="shared" si="8"/>
        <v>19.714285714285715</v>
      </c>
      <c r="G28" s="5">
        <f t="shared" si="8"/>
        <v>18.61904761904762</v>
      </c>
      <c r="H28" s="5">
        <f t="shared" si="8"/>
        <v>17.523809523809526</v>
      </c>
      <c r="I28" s="5">
        <f t="shared" si="8"/>
        <v>16.428571428571431</v>
      </c>
      <c r="J28" s="5">
        <f t="shared" si="8"/>
        <v>15.333333333333336</v>
      </c>
      <c r="K28" s="5">
        <f t="shared" si="8"/>
        <v>14.238095238095241</v>
      </c>
      <c r="L28" s="5">
        <f t="shared" si="8"/>
        <v>13.142857142857146</v>
      </c>
      <c r="M28" s="5">
        <f t="shared" si="8"/>
        <v>12.047619047619051</v>
      </c>
      <c r="N28" s="5">
        <f t="shared" si="8"/>
        <v>10.952380952380956</v>
      </c>
      <c r="O28" s="5">
        <f t="shared" si="8"/>
        <v>9.8571428571428612</v>
      </c>
      <c r="P28" s="5">
        <f t="shared" si="8"/>
        <v>8.7619047619047663</v>
      </c>
      <c r="Q28" s="5">
        <f t="shared" si="8"/>
        <v>7.6666666666666714</v>
      </c>
      <c r="R28" s="5">
        <f t="shared" si="8"/>
        <v>6.5714285714285765</v>
      </c>
      <c r="S28" s="5">
        <f t="shared" si="8"/>
        <v>5.4761904761904816</v>
      </c>
      <c r="T28" s="5">
        <f t="shared" si="8"/>
        <v>4.3809523809523867</v>
      </c>
      <c r="U28" s="5">
        <f t="shared" si="8"/>
        <v>3.2857142857142914</v>
      </c>
      <c r="V28" s="5">
        <f t="shared" si="8"/>
        <v>2.190476190476196</v>
      </c>
      <c r="W28" s="5">
        <f t="shared" si="8"/>
        <v>1.0952380952381007</v>
      </c>
      <c r="X28" s="5">
        <f t="shared" si="8"/>
        <v>5.3290705182007514E-15</v>
      </c>
    </row>
  </sheetData>
  <mergeCells count="3">
    <mergeCell ref="A27:B27"/>
    <mergeCell ref="A28:B28"/>
    <mergeCell ref="AB6:AC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D4B2-A9C4-4C0C-BD3C-F1B7870AA06A}">
  <dimension ref="A1:AC28"/>
  <sheetViews>
    <sheetView workbookViewId="0">
      <selection activeCell="A2" sqref="A2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25" max="25" width="4.42578125" customWidth="1"/>
    <col min="26" max="26" width="14.28515625" customWidth="1"/>
  </cols>
  <sheetData>
    <row r="1" spans="1:2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Z1" s="1" t="s">
        <v>17</v>
      </c>
      <c r="AA1" s="1" t="s">
        <v>18</v>
      </c>
    </row>
    <row r="2" spans="1:29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t="str">
        <f>'Sprint 1 Burndown'!S2</f>
        <v>Jackson</v>
      </c>
      <c r="AA2" s="2"/>
    </row>
    <row r="3" spans="1:29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t="str">
        <f>'Sprint 1 Burndown'!S3</f>
        <v>Austin</v>
      </c>
      <c r="AA3" s="2"/>
    </row>
    <row r="4" spans="1:29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t="str">
        <f>'Sprint 1 Burndown'!S4</f>
        <v>Christian</v>
      </c>
      <c r="AA4" s="2"/>
    </row>
    <row r="5" spans="1:29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Z5" t="str">
        <f>'Sprint 1 Burndown'!S5</f>
        <v>Carson</v>
      </c>
      <c r="AA5" s="2"/>
    </row>
    <row r="6" spans="1:29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AA6" s="6">
        <f>SUM(AA2:AA5)</f>
        <v>0</v>
      </c>
      <c r="AB6" s="10" t="s">
        <v>28</v>
      </c>
      <c r="AC6" s="10"/>
    </row>
    <row r="7" spans="1:29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9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9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9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9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9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9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9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9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  <c r="R27" s="3">
        <f t="shared" ref="R27" si="1">Q27-SUM(R2:R26)</f>
        <v>0</v>
      </c>
      <c r="S27" s="3">
        <f t="shared" ref="S27" si="2">R27-SUM(S2:S26)</f>
        <v>0</v>
      </c>
      <c r="T27" s="3">
        <f t="shared" ref="T27" si="3">S27-SUM(T2:T26)</f>
        <v>0</v>
      </c>
      <c r="U27" s="3">
        <f t="shared" ref="U27" si="4">T27-SUM(U2:U26)</f>
        <v>0</v>
      </c>
      <c r="V27" s="3">
        <f t="shared" ref="V27" si="5">U27-SUM(V2:V26)</f>
        <v>0</v>
      </c>
      <c r="W27" s="3">
        <f t="shared" ref="W27" si="6">V27-SUM(W2:W26)</f>
        <v>0</v>
      </c>
      <c r="X27" s="3">
        <f t="shared" ref="X27" si="7">W27-SUM(X2:X26)</f>
        <v>0</v>
      </c>
    </row>
    <row r="28" spans="1:24">
      <c r="A28" s="9" t="s">
        <v>30</v>
      </c>
      <c r="B28" s="9"/>
      <c r="C28" s="4">
        <f>C27</f>
        <v>0</v>
      </c>
      <c r="D28" s="5">
        <f>C28-($C$27/21)</f>
        <v>0</v>
      </c>
      <c r="E28" s="5">
        <f t="shared" ref="E28:X28" si="8">D28-($C$27/21)</f>
        <v>0</v>
      </c>
      <c r="F28" s="5">
        <f t="shared" si="8"/>
        <v>0</v>
      </c>
      <c r="G28" s="5">
        <f t="shared" si="8"/>
        <v>0</v>
      </c>
      <c r="H28" s="5">
        <f t="shared" si="8"/>
        <v>0</v>
      </c>
      <c r="I28" s="5">
        <f t="shared" si="8"/>
        <v>0</v>
      </c>
      <c r="J28" s="5">
        <f t="shared" si="8"/>
        <v>0</v>
      </c>
      <c r="K28" s="5">
        <f t="shared" si="8"/>
        <v>0</v>
      </c>
      <c r="L28" s="5">
        <f t="shared" si="8"/>
        <v>0</v>
      </c>
      <c r="M28" s="5">
        <f t="shared" si="8"/>
        <v>0</v>
      </c>
      <c r="N28" s="5">
        <f t="shared" si="8"/>
        <v>0</v>
      </c>
      <c r="O28" s="5">
        <f t="shared" si="8"/>
        <v>0</v>
      </c>
      <c r="P28" s="5">
        <f t="shared" si="8"/>
        <v>0</v>
      </c>
      <c r="Q28" s="5">
        <f t="shared" si="8"/>
        <v>0</v>
      </c>
      <c r="R28" s="5">
        <f t="shared" si="8"/>
        <v>0</v>
      </c>
      <c r="S28" s="5">
        <f t="shared" si="8"/>
        <v>0</v>
      </c>
      <c r="T28" s="5">
        <f t="shared" si="8"/>
        <v>0</v>
      </c>
      <c r="U28" s="5">
        <f t="shared" si="8"/>
        <v>0</v>
      </c>
      <c r="V28" s="5">
        <f t="shared" si="8"/>
        <v>0</v>
      </c>
      <c r="W28" s="5">
        <f t="shared" si="8"/>
        <v>0</v>
      </c>
      <c r="X28" s="5">
        <f t="shared" si="8"/>
        <v>0</v>
      </c>
    </row>
  </sheetData>
  <mergeCells count="3">
    <mergeCell ref="A27:B27"/>
    <mergeCell ref="A28:B28"/>
    <mergeCell ref="AB6:AC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B429-800A-4C0E-AA9B-F9201A232933}">
  <dimension ref="A1:V28"/>
  <sheetViews>
    <sheetView workbookViewId="0">
      <selection activeCell="A2" sqref="A2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/>
    </row>
    <row r="3" spans="1:2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/>
    </row>
    <row r="4" spans="1:2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/>
    </row>
    <row r="5" spans="1:2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t="str">
        <f>'Sprint 1 Burndown'!S5</f>
        <v>Carson</v>
      </c>
      <c r="T5" s="2"/>
    </row>
    <row r="6" spans="1:22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T6" s="6">
        <f>SUM(T2:T5)</f>
        <v>0</v>
      </c>
      <c r="U6" s="10" t="s">
        <v>28</v>
      </c>
      <c r="V6" s="10"/>
    </row>
    <row r="7" spans="1:2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</row>
    <row r="28" spans="1:17">
      <c r="A28" s="9" t="s">
        <v>30</v>
      </c>
      <c r="B28" s="9"/>
      <c r="C28" s="4">
        <f>C27</f>
        <v>0</v>
      </c>
      <c r="D28" s="5">
        <f>C28-($C$27/14)</f>
        <v>0</v>
      </c>
      <c r="E28" s="5">
        <f t="shared" ref="E28:Q28" si="1">D28-($C$27/14)</f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</v>
      </c>
      <c r="P28" s="5">
        <f t="shared" si="1"/>
        <v>0</v>
      </c>
      <c r="Q28" s="5">
        <f t="shared" si="1"/>
        <v>0</v>
      </c>
    </row>
  </sheetData>
  <mergeCells count="3">
    <mergeCell ref="A27:B27"/>
    <mergeCell ref="A28:B28"/>
    <mergeCell ref="U6:V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D250-9318-46A0-B6EA-00F76BA8BB60}">
  <dimension ref="A1:W28"/>
  <sheetViews>
    <sheetView workbookViewId="0">
      <selection activeCell="A2" sqref="A2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/>
    </row>
    <row r="3" spans="1:2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/>
    </row>
    <row r="4" spans="1:2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/>
    </row>
    <row r="5" spans="1:23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t="str">
        <f>'Sprint 1 Burndown'!S5</f>
        <v>Carson</v>
      </c>
      <c r="T5" s="2"/>
    </row>
    <row r="6" spans="1:2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T6" s="6">
        <f>SUM(T2:T5)</f>
        <v>0</v>
      </c>
      <c r="U6" s="10" t="s">
        <v>28</v>
      </c>
      <c r="V6" s="10"/>
    </row>
    <row r="7" spans="1:23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T8" t="s">
        <v>53</v>
      </c>
    </row>
    <row r="9" spans="1:2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T9" s="2" t="s">
        <v>54</v>
      </c>
      <c r="U9" s="2">
        <f>'Sprint 1 Burndown'!T6</f>
        <v>0</v>
      </c>
    </row>
    <row r="10" spans="1:2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T10" s="2" t="s">
        <v>55</v>
      </c>
      <c r="U10" s="2">
        <f>'Sprint 2 Burndown'!T6</f>
        <v>21</v>
      </c>
    </row>
    <row r="11" spans="1:2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T11" s="2" t="s">
        <v>56</v>
      </c>
      <c r="U11" s="2">
        <f>'Sprint 3 Burndown'!AA6</f>
        <v>21</v>
      </c>
    </row>
    <row r="12" spans="1:2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T12" s="2" t="s">
        <v>57</v>
      </c>
      <c r="U12" s="2">
        <f>'Sprint 4 Burndown'!AA6</f>
        <v>0</v>
      </c>
    </row>
    <row r="13" spans="1:2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T13" s="2" t="s">
        <v>58</v>
      </c>
      <c r="U13" s="2">
        <f>'Sprint 5 Burndown'!T6</f>
        <v>0</v>
      </c>
    </row>
    <row r="14" spans="1:2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T14" s="2" t="s">
        <v>59</v>
      </c>
      <c r="U14" s="2">
        <f>T6</f>
        <v>0</v>
      </c>
    </row>
    <row r="15" spans="1:2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U15" s="7">
        <f>SUM(U9:U14)</f>
        <v>42</v>
      </c>
      <c r="V15" s="10" t="s">
        <v>53</v>
      </c>
      <c r="W15" s="10"/>
    </row>
    <row r="16" spans="1:2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</row>
    <row r="28" spans="1:17">
      <c r="A28" s="9" t="s">
        <v>30</v>
      </c>
      <c r="B28" s="9"/>
      <c r="C28" s="4">
        <f>C27</f>
        <v>0</v>
      </c>
      <c r="D28" s="5">
        <f>C28-($C$27/14)</f>
        <v>0</v>
      </c>
      <c r="E28" s="5">
        <f t="shared" ref="E28:Q28" si="1">D28-($C$27/14)</f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</v>
      </c>
      <c r="P28" s="5">
        <f t="shared" si="1"/>
        <v>0</v>
      </c>
      <c r="Q28" s="5">
        <f t="shared" si="1"/>
        <v>0</v>
      </c>
    </row>
  </sheetData>
  <mergeCells count="4">
    <mergeCell ref="A27:B27"/>
    <mergeCell ref="A28:B28"/>
    <mergeCell ref="U6:V6"/>
    <mergeCell ref="V15:W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81F15B-EF4A-499F-9712-19D68AACB987}"/>
</file>

<file path=customXml/itemProps2.xml><?xml version="1.0" encoding="utf-8"?>
<ds:datastoreItem xmlns:ds="http://schemas.openxmlformats.org/officeDocument/2006/customXml" ds:itemID="{F0458841-9248-497A-A68C-1FF4283BC7BB}"/>
</file>

<file path=customXml/itemProps3.xml><?xml version="1.0" encoding="utf-8"?>
<ds:datastoreItem xmlns:ds="http://schemas.openxmlformats.org/officeDocument/2006/customXml" ds:itemID="{C5B6A23A-B3AE-46C8-A9DB-3DE8D005D2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Kisling</dc:creator>
  <cp:keywords/>
  <dc:description/>
  <cp:lastModifiedBy>Ingalls, Jackson Lee</cp:lastModifiedBy>
  <cp:revision/>
  <dcterms:created xsi:type="dcterms:W3CDTF">2020-08-04T20:06:25Z</dcterms:created>
  <dcterms:modified xsi:type="dcterms:W3CDTF">2025-03-16T18:35:02Z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