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udentsecuedu66932.sharepoint.com/sites/MIS4173933/Shared Documents/Channel/team1sprint2/"/>
    </mc:Choice>
  </mc:AlternateContent>
  <xr:revisionPtr revIDLastSave="392" documentId="13_ncr:1_{F3BEE3B6-5F1C-4CF0-98DD-AC0831B73737}" xr6:coauthVersionLast="47" xr6:coauthVersionMax="47" xr10:uidLastSave="{B9B81ECD-2FC8-492A-95DD-27B7B3A655DB}"/>
  <bookViews>
    <workbookView xWindow="-120" yWindow="-120" windowWidth="20730" windowHeight="11040" tabRatio="920" firstSheet="3" activeTab="3" xr2:uid="{00000000-000D-0000-FFFF-FFFF00000000}"/>
  </bookViews>
  <sheets>
    <sheet name="Sprint 1 Daily SCRUM Standup" sheetId="1" r:id="rId1"/>
    <sheet name="Sprint 2 Daily SCRUM Standup" sheetId="2" r:id="rId2"/>
    <sheet name="Sprint 3 Daily SCRUM Standup" sheetId="3" r:id="rId3"/>
    <sheet name="Sprint 4 Daily SCRUM Standup" sheetId="4" r:id="rId4"/>
    <sheet name="Sprint 5 Daily SCRUM Standup" sheetId="5" r:id="rId5"/>
    <sheet name="Sprint 6 Daily SCRUM Standu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D4" i="1"/>
  <c r="D5" i="1"/>
  <c r="D6" i="1"/>
  <c r="D3" i="1"/>
  <c r="K4" i="1"/>
  <c r="K5" i="1"/>
  <c r="K6" i="1"/>
  <c r="K3" i="1"/>
  <c r="L3" i="1"/>
  <c r="M3" i="1"/>
  <c r="N3" i="1"/>
  <c r="O3" i="1"/>
  <c r="P3" i="1"/>
  <c r="L4" i="1"/>
  <c r="M4" i="1"/>
  <c r="N4" i="1"/>
  <c r="O4" i="1"/>
  <c r="P4" i="1"/>
  <c r="L5" i="1"/>
  <c r="M5" i="1"/>
  <c r="N5" i="1"/>
  <c r="O5" i="1"/>
  <c r="P5" i="1"/>
  <c r="L6" i="1"/>
  <c r="M6" i="1"/>
  <c r="N6" i="1"/>
  <c r="O6" i="1"/>
  <c r="P6" i="1"/>
</calcChain>
</file>

<file path=xl/sharedStrings.xml><?xml version="1.0" encoding="utf-8"?>
<sst xmlns="http://schemas.openxmlformats.org/spreadsheetml/2006/main" count="532" uniqueCount="188">
  <si>
    <t>Question</t>
  </si>
  <si>
    <t>Team Member</t>
  </si>
  <si>
    <t>Week: 01/27/2025-02/02/2025</t>
  </si>
  <si>
    <t>Week: 02/03/2025-02/09/2025</t>
  </si>
  <si>
    <t>Week: 02/18/2025-02/23/2026</t>
  </si>
  <si>
    <t>Week: 02/10/2025-02/17/2027</t>
  </si>
  <si>
    <t>Monday</t>
  </si>
  <si>
    <t>Tuesday</t>
  </si>
  <si>
    <t>Wednesday</t>
  </si>
  <si>
    <t>Thursday</t>
  </si>
  <si>
    <t>Friday</t>
  </si>
  <si>
    <t>Saturday</t>
  </si>
  <si>
    <t>Sunday</t>
  </si>
  <si>
    <t>What did you do yesterday?</t>
  </si>
  <si>
    <t>Christian</t>
  </si>
  <si>
    <t>Carson</t>
  </si>
  <si>
    <t>Jackson</t>
  </si>
  <si>
    <t>Austin</t>
  </si>
  <si>
    <t>What will you work on today?</t>
  </si>
  <si>
    <t>Define project vision &amp; scope</t>
  </si>
  <si>
    <t>Identify system users &amp; roles</t>
  </si>
  <si>
    <t>Expand Use Case Diagram</t>
  </si>
  <si>
    <t>Review Use Case Diagram with team</t>
  </si>
  <si>
    <t>Finalize Sprint 1 Backlog</t>
  </si>
  <si>
    <t>Draft Sprint 1 Burndown Chart</t>
  </si>
  <si>
    <t>Prepare Sprint 1 Presentation slides</t>
  </si>
  <si>
    <t>Conduct final review of Sprint 1 work</t>
  </si>
  <si>
    <t>Finalize &amp; submit Sprint 1 documentation</t>
  </si>
  <si>
    <t>Present Sprint 1 Deliverables</t>
  </si>
  <si>
    <t>Identify system requirements &amp; constraints</t>
  </si>
  <si>
    <t>Develop initial Context Diagram</t>
  </si>
  <si>
    <t>Finalize Context Diagram</t>
  </si>
  <si>
    <t>Refine system requirements</t>
  </si>
  <si>
    <t>Review &amp; refine Product Backlog</t>
  </si>
  <si>
    <t>Research security considerations</t>
  </si>
  <si>
    <t>Start drafting Use Case Diagram</t>
  </si>
  <si>
    <t>Review and refine requirements</t>
  </si>
  <si>
    <t>Identify technical constraints</t>
  </si>
  <si>
    <t>Check for missing system constraints</t>
  </si>
  <si>
    <t>Review overall progress &amp; blockers</t>
  </si>
  <si>
    <t>Check all backlog items &amp; documentation</t>
  </si>
  <si>
    <t>Begin drafting team charter &amp; roles</t>
  </si>
  <si>
    <t>Outline business process improvements (BPA, BPI, BPR)</t>
  </si>
  <si>
    <t>Organize initial system features</t>
  </si>
  <si>
    <t>Create draft of Product Backlog</t>
  </si>
  <si>
    <t>Ensure use cases align with requirements</t>
  </si>
  <si>
    <t>Do you have any obstacles?</t>
  </si>
  <si>
    <t>Reviewed SR&amp;R 1 feedback</t>
  </si>
  <si>
    <t>Identified key changes for Sprint 2</t>
  </si>
  <si>
    <t>Began updating documentation</t>
  </si>
  <si>
    <t>Drafted an improved requirements list</t>
  </si>
  <si>
    <t>Discussed feedback with team</t>
  </si>
  <si>
    <t>Reviewed use case adjustments</t>
  </si>
  <si>
    <t>Revised backlog based on feedback</t>
  </si>
  <si>
    <t>Conducted initial stakeholder interviews</t>
  </si>
  <si>
    <t>Gathered insights for new requirements</t>
  </si>
  <si>
    <t>Began structuring non-functional requirements</t>
  </si>
  <si>
    <t>-</t>
  </si>
  <si>
    <t>Analyzed documentation feedback</t>
  </si>
  <si>
    <t>Identified missing system requirements</t>
  </si>
  <si>
    <t>Conducted user interviews for feedback</t>
  </si>
  <si>
    <t>Updated use case diagrams based on insights</t>
  </si>
  <si>
    <t>Finalized initial backlog adjustments</t>
  </si>
  <si>
    <t>Reviewed stakeholder expectations</t>
  </si>
  <si>
    <t>Identified new elicitation techniques to use</t>
  </si>
  <si>
    <t>Conducted additional stakeholder interviews</t>
  </si>
  <si>
    <t>Refined requirement gathering approach</t>
  </si>
  <si>
    <t>Worked on defining constraints for non-functional requirements</t>
  </si>
  <si>
    <t>Reviewed security concerns raised in feedback</t>
  </si>
  <si>
    <t>Researched industry best practices for security requirements</t>
  </si>
  <si>
    <t>Revised security-related non-functional requirements</t>
  </si>
  <si>
    <t>Collaborated with Carson on elicitation techniques</t>
  </si>
  <si>
    <t>Updated documentation for security constraints</t>
  </si>
  <si>
    <t>Conducted further research on security standards</t>
  </si>
  <si>
    <t>Worked on refining system performance metrics</t>
  </si>
  <si>
    <t>Drafted initial compliance checklist</t>
  </si>
  <si>
    <t>Ensured security needs align with system requirements</t>
  </si>
  <si>
    <t>Reviewed technical constraints</t>
  </si>
  <si>
    <t>Reviewed process improvements suggested in feedback</t>
  </si>
  <si>
    <t>Identified key process bottlenecks</t>
  </si>
  <si>
    <t>Outlined steps to incorporate feedback in business process workflows</t>
  </si>
  <si>
    <t>Updated backlog with process refinements</t>
  </si>
  <si>
    <t>Collaborated with Jackson on security-related process requirements</t>
  </si>
  <si>
    <t>Worked on performance benchmarks for system requirements</t>
  </si>
  <si>
    <t>Finalized a draft for business process documentation</t>
  </si>
  <si>
    <t>Gathered additional information for non-functional requirements</t>
  </si>
  <si>
    <t>Reviewed consistency across updated documents</t>
  </si>
  <si>
    <t>Ensured elicited requirements align with stakeholder expectations</t>
  </si>
  <si>
    <t>Incorporate final SR&amp;R feedback into documentation</t>
  </si>
  <si>
    <t>Validate changes with stakeholders</t>
  </si>
  <si>
    <t>Finalize adjustments to use cases</t>
  </si>
  <si>
    <t>Confirm updates align with initial project vision</t>
  </si>
  <si>
    <t>Review backlog for alignment with Sprint 2 goals</t>
  </si>
  <si>
    <t>Refine stakeholder feedback into actionable tasks</t>
  </si>
  <si>
    <t>Ensure all updates are reflected in the backlog</t>
  </si>
  <si>
    <t>Work on preparing requirements document for Sprint 2 review</t>
  </si>
  <si>
    <t>Cross-check with other team members to ensure consistency</t>
  </si>
  <si>
    <t>Collaborate with Carson on requirement elicitation findings</t>
  </si>
  <si>
    <t>Work on backlog refinements based on new feedback</t>
  </si>
  <si>
    <t>Identify any missing use case details</t>
  </si>
  <si>
    <t>Conduct follow-up interviews for additional insights</t>
  </si>
  <si>
    <t>Finalize requirement elicitation strategies</t>
  </si>
  <si>
    <t>Start documenting newly gathered requirements</t>
  </si>
  <si>
    <t>Work on refining non-functional requirements</t>
  </si>
  <si>
    <t>Ensure all elicitation findings are captured correctly</t>
  </si>
  <si>
    <t>Assist with refining technical constraints</t>
  </si>
  <si>
    <t>Conduct final check for missing requirements</t>
  </si>
  <si>
    <t>Align all updates with team goals</t>
  </si>
  <si>
    <t>Finalize security-related non-functional requirements</t>
  </si>
  <si>
    <t>Identify system performance constraints</t>
  </si>
  <si>
    <t>Review compliance considerations for security requirements</t>
  </si>
  <si>
    <t>Collaborate with Austin on process alignment</t>
  </si>
  <si>
    <t>Work on documenting findings for system limitations</t>
  </si>
  <si>
    <t>Ensure all technical constraints are clearly defined</t>
  </si>
  <si>
    <t>Finalize checklist for system performance validation</t>
  </si>
  <si>
    <t>Review elicited security-related requirements</t>
  </si>
  <si>
    <t>Validate system performance benchmarks</t>
  </si>
  <si>
    <t>Check for consistency in all security documentation</t>
  </si>
  <si>
    <t>Refine business process improvements</t>
  </si>
  <si>
    <t>Ensure alignment with technical and security requirements</t>
  </si>
  <si>
    <t>Work on defining usability constraints</t>
  </si>
  <si>
    <t>Collaborate with Jackson on aligning security with business workflows</t>
  </si>
  <si>
    <t>Ensure all business process updates are clearly documented</t>
  </si>
  <si>
    <t>Validate workflow improvements with feedback received</t>
  </si>
  <si>
    <t>Ensure non-functional requirements cover all key constraints</t>
  </si>
  <si>
    <t>Finalize documentation for process enhancements</t>
  </si>
  <si>
    <t>Conduct final quality check</t>
  </si>
  <si>
    <t>Review all updates with stakeholders for sign-off</t>
  </si>
  <si>
    <t>Need clarification on some feedback points</t>
  </si>
  <si>
    <t>Unclear priorities in feedback</t>
  </si>
  <si>
    <t>Ensuring backlog updates align with team objectives</t>
  </si>
  <si>
    <t>Stakeholder availability for validation meetings</t>
  </si>
  <si>
    <t>Time constraints in finalizing documentation</t>
  </si>
  <si>
    <t>Some requirements are vague or incomplete</t>
  </si>
  <si>
    <t>Difficulty scheduling stakeholder meetings</t>
  </si>
  <si>
    <t>Ensuring requirement elicitation is thorough enough</t>
  </si>
  <si>
    <t>Balancing requirement gathering with documentation</t>
  </si>
  <si>
    <t>Managing workload with other Sprint 2 tasks</t>
  </si>
  <si>
    <t>Security requirements are complex and evolving</t>
  </si>
  <si>
    <t>Compliance regulations require more research</t>
  </si>
  <si>
    <t>Ensuring all security concerns are captured accurately</t>
  </si>
  <si>
    <t>Aligning technical constraints with system capabilities</t>
  </si>
  <si>
    <t>Balancing security with usability in non-functional requirements</t>
  </si>
  <si>
    <t>Some process refinements require additional data</t>
  </si>
  <si>
    <t>Ensuring usability constraints are well-defined</t>
  </si>
  <si>
    <t>Making sure process changes don't conflict with security</t>
  </si>
  <si>
    <t>Documenting workflow improvements effectively</t>
  </si>
  <si>
    <t>Balancing multiple refinement tasks</t>
  </si>
  <si>
    <t>Week: 02/23/2025-03/02/2025</t>
  </si>
  <si>
    <t>Week: 03/02/2025-03/09/2025</t>
  </si>
  <si>
    <t>Week: 03/09/2025-03/16/2025</t>
  </si>
  <si>
    <t>Present and complete documentation</t>
  </si>
  <si>
    <t>Present Sprint 2</t>
  </si>
  <si>
    <t>Incorporate feedback</t>
  </si>
  <si>
    <t>Create Customer Registration</t>
  </si>
  <si>
    <t>Finalize Sprint 3</t>
  </si>
  <si>
    <t>Create DFD's</t>
  </si>
  <si>
    <t>Design Navigation Diagram</t>
  </si>
  <si>
    <t>Develop Homepage</t>
  </si>
  <si>
    <t>Design Dashboard</t>
  </si>
  <si>
    <t>Create Program Plan IPO</t>
  </si>
  <si>
    <t>Present Sprint 3</t>
  </si>
  <si>
    <t>Present Sprint 4</t>
  </si>
  <si>
    <t>Present Sprint 5</t>
  </si>
  <si>
    <t>Present Sprint 6</t>
  </si>
  <si>
    <t>None</t>
  </si>
  <si>
    <t>Week: 03/17/2025-03/23/2025</t>
  </si>
  <si>
    <t>Week: 03/24/2025-03/30/202x</t>
  </si>
  <si>
    <t>Week: 03/31/202x-04/06/202x</t>
  </si>
  <si>
    <t>Reviewed Feedback</t>
  </si>
  <si>
    <t>Team Meeting</t>
  </si>
  <si>
    <t>User Training</t>
  </si>
  <si>
    <t>Training Manual</t>
  </si>
  <si>
    <t>Development</t>
  </si>
  <si>
    <t>Technical Documentation</t>
  </si>
  <si>
    <t>Sprint 3 Feedback Session with Dr. Bowman</t>
  </si>
  <si>
    <t>Team check-in/meeting</t>
  </si>
  <si>
    <t>Team check-in/meeting - additional features were discussed for development specifically focusing on the POV of the admin and the features that they would need.</t>
  </si>
  <si>
    <t>Plan &amp; Create User Training</t>
  </si>
  <si>
    <t>Finalize User Training</t>
  </si>
  <si>
    <t>Reviewed and finalzed backlog and burndown chart</t>
  </si>
  <si>
    <t>Draft/Research Training Manual</t>
  </si>
  <si>
    <t>Carson implemented additional features we had previously discussed</t>
  </si>
  <si>
    <t>FInalize Training Manual</t>
  </si>
  <si>
    <t>Draft/Research Technical Documentation</t>
  </si>
  <si>
    <t>Finalize Technical Documentation</t>
  </si>
  <si>
    <t>Austin was not able to make this meeting</t>
  </si>
  <si>
    <t>Week: xx/xx/202x-xx/xx/202x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</si>
</sst>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Arial"/>
      <family val="2"/>
    </font>
    <font>
      <sz val="9"/>
      <color theme="1"/>
      <name val="Arial"/>
      <family val="2"/>
    </font>
    <font>
      <sz val="9"/>
      <color rgb="FF444444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7"/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</cellXfs>
  <cellStyles count="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"/>
  <sheetViews>
    <sheetView zoomScale="38" zoomScaleNormal="95" workbookViewId="0"/>
  </sheetViews>
  <sheetFormatPr defaultColWidth="11.25" defaultRowHeight="15.75"/>
  <cols>
    <col min="1" max="1" width="29.75" customWidth="1"/>
    <col min="2" max="2" width="27.75" customWidth="1"/>
    <col min="3" max="16" width="25.625" customWidth="1"/>
    <col min="17" max="17" width="43.125" customWidth="1"/>
    <col min="18" max="18" width="21.625" customWidth="1"/>
    <col min="19" max="19" width="22.875" customWidth="1"/>
    <col min="20" max="21" width="17.5" customWidth="1"/>
    <col min="22" max="22" width="18.875" customWidth="1"/>
    <col min="23" max="23" width="17.5" customWidth="1"/>
    <col min="24" max="24" width="18.125" customWidth="1"/>
    <col min="25" max="25" width="22" customWidth="1"/>
    <col min="26" max="26" width="12.375" bestFit="1" customWidth="1"/>
    <col min="27" max="27" width="10.25" bestFit="1" customWidth="1"/>
    <col min="28" max="28" width="7.125" bestFit="1" customWidth="1"/>
    <col min="29" max="29" width="9.75" bestFit="1" customWidth="1"/>
    <col min="30" max="30" width="8.5" bestFit="1" customWidth="1"/>
    <col min="31" max="31" width="8.75" bestFit="1" customWidth="1"/>
    <col min="32" max="32" width="9.375" bestFit="1" customWidth="1"/>
    <col min="33" max="33" width="12.375" bestFit="1" customWidth="1"/>
    <col min="34" max="34" width="10.25" bestFit="1" customWidth="1"/>
    <col min="35" max="35" width="7.125" bestFit="1" customWidth="1"/>
    <col min="36" max="36" width="9.75" bestFit="1" customWidth="1"/>
    <col min="37" max="37" width="8.5" bestFit="1" customWidth="1"/>
  </cols>
  <sheetData>
    <row r="1" spans="1:30">
      <c r="A1" s="16" t="s">
        <v>0</v>
      </c>
      <c r="B1" s="17" t="s">
        <v>1</v>
      </c>
      <c r="C1" s="18" t="s">
        <v>2</v>
      </c>
      <c r="D1" s="18"/>
      <c r="E1" s="18"/>
      <c r="F1" s="18"/>
      <c r="G1" s="18"/>
      <c r="H1" s="18"/>
      <c r="I1" s="18"/>
      <c r="J1" s="18" t="s">
        <v>3</v>
      </c>
      <c r="K1" s="18"/>
      <c r="L1" s="18"/>
      <c r="M1" s="18"/>
      <c r="N1" s="18"/>
      <c r="O1" s="18"/>
      <c r="P1" s="18"/>
      <c r="Q1" s="18" t="s">
        <v>4</v>
      </c>
      <c r="R1" s="18"/>
      <c r="S1" s="18"/>
      <c r="T1" s="18"/>
      <c r="U1" s="18"/>
      <c r="V1" s="18"/>
      <c r="W1" s="18"/>
      <c r="X1" s="18" t="s">
        <v>5</v>
      </c>
      <c r="Y1" s="18"/>
      <c r="Z1" s="18"/>
      <c r="AA1" s="18"/>
      <c r="AB1" s="18"/>
      <c r="AC1" s="18"/>
      <c r="AD1" s="18"/>
    </row>
    <row r="2" spans="1:30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</row>
    <row r="3" spans="1:30" ht="45" customHeight="1">
      <c r="A3" s="15" t="s">
        <v>13</v>
      </c>
      <c r="B3" s="8" t="s">
        <v>14</v>
      </c>
      <c r="D3">
        <f>C7</f>
        <v>0</v>
      </c>
      <c r="E3">
        <f t="shared" ref="E3:J3" si="0">D7</f>
        <v>0</v>
      </c>
      <c r="F3">
        <f t="shared" si="0"/>
        <v>0</v>
      </c>
      <c r="G3">
        <f t="shared" si="0"/>
        <v>0</v>
      </c>
      <c r="H3" t="str">
        <f t="shared" si="0"/>
        <v>Define project vision &amp; scope</v>
      </c>
      <c r="I3" t="str">
        <f t="shared" si="0"/>
        <v>Identify system users &amp; roles</v>
      </c>
      <c r="J3" t="str">
        <f t="shared" si="0"/>
        <v>Expand Use Case Diagram</v>
      </c>
      <c r="K3" t="str">
        <f>L7</f>
        <v>Draft Sprint 1 Burndown Chart</v>
      </c>
      <c r="L3" t="str">
        <f t="shared" ref="L3:P3" si="1">K7</f>
        <v>Finalize Sprint 1 Backlog</v>
      </c>
      <c r="M3" t="str">
        <f t="shared" si="1"/>
        <v>Draft Sprint 1 Burndown Chart</v>
      </c>
      <c r="N3" t="str">
        <f t="shared" si="1"/>
        <v>Prepare Sprint 1 Presentation slides</v>
      </c>
      <c r="O3" t="str">
        <f t="shared" si="1"/>
        <v>Conduct final review of Sprint 1 work</v>
      </c>
      <c r="P3" t="str">
        <f t="shared" si="1"/>
        <v>Finalize &amp; submit Sprint 1 documentation</v>
      </c>
    </row>
    <row r="4" spans="1:30" ht="45" customHeight="1">
      <c r="A4" s="15"/>
      <c r="B4" s="8" t="s">
        <v>15</v>
      </c>
      <c r="D4">
        <f t="shared" ref="D4:J6" si="2">C8</f>
        <v>0</v>
      </c>
      <c r="E4">
        <f t="shared" si="2"/>
        <v>0</v>
      </c>
      <c r="F4">
        <f t="shared" si="2"/>
        <v>0</v>
      </c>
      <c r="G4">
        <f t="shared" si="2"/>
        <v>0</v>
      </c>
      <c r="H4" t="str">
        <f t="shared" si="2"/>
        <v>Identify system requirements &amp; constraints</v>
      </c>
      <c r="I4" t="str">
        <f t="shared" si="2"/>
        <v>Develop initial Context Diagram</v>
      </c>
      <c r="J4" t="str">
        <f t="shared" si="2"/>
        <v>Finalize Context Diagram</v>
      </c>
      <c r="K4" t="str">
        <f t="shared" ref="K4:K6" si="3">L8</f>
        <v>Draft Sprint 1 Burndown Chart</v>
      </c>
      <c r="L4" t="str">
        <f t="shared" ref="L4:P6" si="4">K8</f>
        <v>Review &amp; refine Product Backlog</v>
      </c>
      <c r="M4" t="str">
        <f t="shared" si="4"/>
        <v>Draft Sprint 1 Burndown Chart</v>
      </c>
      <c r="N4" t="str">
        <f t="shared" si="4"/>
        <v>Prepare Sprint 1 Presentation slides</v>
      </c>
      <c r="O4" t="str">
        <f t="shared" si="4"/>
        <v>Conduct final review of Sprint 1 work</v>
      </c>
      <c r="P4" t="str">
        <f t="shared" si="4"/>
        <v>Finalize &amp; submit Sprint 1 documentation</v>
      </c>
    </row>
    <row r="5" spans="1:30" ht="45" customHeight="1">
      <c r="A5" s="15"/>
      <c r="B5" s="8" t="s">
        <v>16</v>
      </c>
      <c r="D5">
        <f t="shared" si="2"/>
        <v>0</v>
      </c>
      <c r="E5">
        <f t="shared" si="2"/>
        <v>0</v>
      </c>
      <c r="F5">
        <f t="shared" si="2"/>
        <v>0</v>
      </c>
      <c r="G5">
        <f t="shared" si="2"/>
        <v>0</v>
      </c>
      <c r="H5" t="str">
        <f t="shared" si="2"/>
        <v>Research security considerations</v>
      </c>
      <c r="I5" t="str">
        <f t="shared" si="2"/>
        <v>Start drafting Use Case Diagram</v>
      </c>
      <c r="J5" t="str">
        <f t="shared" si="2"/>
        <v>Review and refine requirements</v>
      </c>
      <c r="K5" t="str">
        <f t="shared" si="3"/>
        <v>Review overall progress &amp; blockers</v>
      </c>
      <c r="L5" t="str">
        <f t="shared" si="4"/>
        <v>Check for missing system constraints</v>
      </c>
      <c r="M5" t="str">
        <f t="shared" si="4"/>
        <v>Review overall progress &amp; blockers</v>
      </c>
      <c r="N5" t="str">
        <f t="shared" si="4"/>
        <v>Check all backlog items &amp; documentation</v>
      </c>
      <c r="O5" t="str">
        <f t="shared" si="4"/>
        <v>Conduct final review of Sprint 1 work</v>
      </c>
      <c r="P5" t="str">
        <f t="shared" si="4"/>
        <v>Finalize &amp; submit Sprint 1 documentation</v>
      </c>
    </row>
    <row r="6" spans="1:30" ht="45" customHeight="1">
      <c r="A6" s="19"/>
      <c r="B6" s="9" t="s">
        <v>17</v>
      </c>
      <c r="D6">
        <f t="shared" si="2"/>
        <v>0</v>
      </c>
      <c r="E6">
        <f t="shared" si="2"/>
        <v>0</v>
      </c>
      <c r="F6">
        <f t="shared" si="2"/>
        <v>0</v>
      </c>
      <c r="G6">
        <f t="shared" si="2"/>
        <v>0</v>
      </c>
      <c r="H6" t="str">
        <f t="shared" si="2"/>
        <v>Begin drafting team charter &amp; roles</v>
      </c>
      <c r="I6" t="str">
        <f t="shared" si="2"/>
        <v>Outline business process improvements (BPA, BPI, BPR)</v>
      </c>
      <c r="J6" t="str">
        <f t="shared" si="2"/>
        <v>Organize initial system features</v>
      </c>
      <c r="K6" t="str">
        <f t="shared" si="3"/>
        <v>Review overall progress &amp; blockers</v>
      </c>
      <c r="L6" t="str">
        <f>K10</f>
        <v>Ensure use cases align with requirements</v>
      </c>
      <c r="M6" t="str">
        <f t="shared" si="4"/>
        <v>Review overall progress &amp; blockers</v>
      </c>
      <c r="N6" t="str">
        <f t="shared" si="4"/>
        <v>Check all backlog items &amp; documentation</v>
      </c>
      <c r="O6" t="str">
        <f t="shared" si="4"/>
        <v>Conduct final review of Sprint 1 work</v>
      </c>
      <c r="P6" t="str">
        <f t="shared" si="4"/>
        <v>Finalize &amp; submit Sprint 1 documentation</v>
      </c>
    </row>
    <row r="7" spans="1:30" ht="45" customHeight="1">
      <c r="A7" s="15" t="s">
        <v>18</v>
      </c>
      <c r="B7" s="8" t="s">
        <v>14</v>
      </c>
      <c r="G7" t="s">
        <v>19</v>
      </c>
      <c r="H7" t="s">
        <v>20</v>
      </c>
      <c r="I7" t="s">
        <v>21</v>
      </c>
      <c r="J7" s="10" t="s">
        <v>22</v>
      </c>
      <c r="K7" t="s">
        <v>23</v>
      </c>
      <c r="L7" s="10" t="s">
        <v>24</v>
      </c>
      <c r="M7" s="10" t="s">
        <v>25</v>
      </c>
      <c r="N7" s="10" t="s">
        <v>26</v>
      </c>
      <c r="O7" s="10" t="s">
        <v>27</v>
      </c>
      <c r="P7" t="s">
        <v>28</v>
      </c>
    </row>
    <row r="8" spans="1:30" ht="45" customHeight="1">
      <c r="A8" s="15"/>
      <c r="B8" s="8" t="s">
        <v>15</v>
      </c>
      <c r="G8" s="10" t="s">
        <v>29</v>
      </c>
      <c r="H8" s="10" t="s">
        <v>30</v>
      </c>
      <c r="I8" t="s">
        <v>31</v>
      </c>
      <c r="J8" t="s">
        <v>32</v>
      </c>
      <c r="K8" s="10" t="s">
        <v>33</v>
      </c>
      <c r="L8" s="10" t="s">
        <v>24</v>
      </c>
      <c r="M8" s="10" t="s">
        <v>25</v>
      </c>
      <c r="N8" s="10" t="s">
        <v>26</v>
      </c>
      <c r="O8" s="10" t="s">
        <v>27</v>
      </c>
      <c r="P8" t="s">
        <v>28</v>
      </c>
    </row>
    <row r="9" spans="1:30" ht="45" customHeight="1">
      <c r="A9" s="15"/>
      <c r="B9" s="8" t="s">
        <v>16</v>
      </c>
      <c r="G9" s="10" t="s">
        <v>34</v>
      </c>
      <c r="H9" s="10" t="s">
        <v>35</v>
      </c>
      <c r="I9" s="10" t="s">
        <v>36</v>
      </c>
      <c r="J9" t="s">
        <v>37</v>
      </c>
      <c r="K9" s="10" t="s">
        <v>38</v>
      </c>
      <c r="L9" s="10" t="s">
        <v>39</v>
      </c>
      <c r="M9" s="10" t="s">
        <v>40</v>
      </c>
      <c r="N9" s="10" t="s">
        <v>26</v>
      </c>
      <c r="O9" s="10" t="s">
        <v>27</v>
      </c>
      <c r="P9" t="s">
        <v>28</v>
      </c>
    </row>
    <row r="10" spans="1:30" ht="45" customHeight="1">
      <c r="A10" s="19"/>
      <c r="B10" s="9" t="s">
        <v>17</v>
      </c>
      <c r="G10" s="10" t="s">
        <v>41</v>
      </c>
      <c r="H10" s="10" t="s">
        <v>42</v>
      </c>
      <c r="I10" s="10" t="s">
        <v>43</v>
      </c>
      <c r="J10" s="10" t="s">
        <v>44</v>
      </c>
      <c r="K10" s="10" t="s">
        <v>45</v>
      </c>
      <c r="L10" s="10" t="s">
        <v>39</v>
      </c>
      <c r="M10" s="10" t="s">
        <v>40</v>
      </c>
      <c r="N10" s="10" t="s">
        <v>26</v>
      </c>
      <c r="O10" s="10" t="s">
        <v>27</v>
      </c>
      <c r="P10" t="s">
        <v>28</v>
      </c>
    </row>
    <row r="11" spans="1:30" ht="45" customHeight="1">
      <c r="A11" s="15" t="s">
        <v>46</v>
      </c>
      <c r="B11" s="8" t="s">
        <v>14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30" ht="45" customHeight="1">
      <c r="A12" s="15"/>
      <c r="B12" s="8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30" ht="45" customHeight="1">
      <c r="A13" s="15"/>
      <c r="B13" s="8" t="s">
        <v>16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30" ht="45" customHeight="1">
      <c r="A14" s="15"/>
      <c r="B14" s="8" t="s">
        <v>17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9">
    <mergeCell ref="A11:A14"/>
    <mergeCell ref="A1:A2"/>
    <mergeCell ref="B1:B2"/>
    <mergeCell ref="Q1:W1"/>
    <mergeCell ref="X1:AD1"/>
    <mergeCell ref="C1:I1"/>
    <mergeCell ref="J1:P1"/>
    <mergeCell ref="A3:A6"/>
    <mergeCell ref="A7:A10"/>
  </mergeCells>
  <phoneticPr fontId="4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DBE2-45CA-43D5-8BC7-C6D50BFB0F7D}">
  <dimension ref="A1:P18"/>
  <sheetViews>
    <sheetView zoomScale="70" zoomScaleNormal="95" workbookViewId="0">
      <selection activeCell="B14" sqref="B14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1" t="s">
        <v>0</v>
      </c>
      <c r="B1" s="11" t="s">
        <v>1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</row>
    <row r="2" spans="1:16" ht="32.25">
      <c r="A2" s="13" t="s">
        <v>13</v>
      </c>
      <c r="B2" s="12" t="s">
        <v>14</v>
      </c>
      <c r="C2" s="12" t="s">
        <v>47</v>
      </c>
      <c r="D2" s="12" t="s">
        <v>48</v>
      </c>
      <c r="E2" s="12" t="s">
        <v>49</v>
      </c>
      <c r="F2" s="12" t="s">
        <v>50</v>
      </c>
      <c r="G2" s="12" t="s">
        <v>51</v>
      </c>
      <c r="H2" s="12" t="s">
        <v>52</v>
      </c>
      <c r="I2" s="12" t="s">
        <v>53</v>
      </c>
      <c r="J2" s="12" t="s">
        <v>54</v>
      </c>
      <c r="K2" s="12" t="s">
        <v>55</v>
      </c>
      <c r="L2" s="12" t="s">
        <v>56</v>
      </c>
      <c r="M2" s="12" t="s">
        <v>57</v>
      </c>
      <c r="N2" s="12" t="s">
        <v>57</v>
      </c>
      <c r="O2" s="12" t="s">
        <v>57</v>
      </c>
      <c r="P2" s="12" t="s">
        <v>57</v>
      </c>
    </row>
    <row r="3" spans="1:16" ht="45" customHeight="1">
      <c r="A3" s="12"/>
      <c r="B3" s="12" t="s">
        <v>15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  <c r="J3" s="12" t="s">
        <v>65</v>
      </c>
      <c r="K3" s="12" t="s">
        <v>66</v>
      </c>
      <c r="L3" s="12" t="s">
        <v>67</v>
      </c>
      <c r="M3" s="12" t="s">
        <v>57</v>
      </c>
      <c r="N3" s="12" t="s">
        <v>57</v>
      </c>
      <c r="O3" s="12" t="s">
        <v>57</v>
      </c>
      <c r="P3" s="12" t="s">
        <v>57</v>
      </c>
    </row>
    <row r="4" spans="1:16" ht="45" customHeight="1">
      <c r="A4" s="12"/>
      <c r="B4" s="12" t="s">
        <v>16</v>
      </c>
      <c r="C4" s="12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  <c r="L4" s="12" t="s">
        <v>77</v>
      </c>
      <c r="M4" s="12" t="s">
        <v>57</v>
      </c>
      <c r="N4" s="12" t="s">
        <v>57</v>
      </c>
      <c r="O4" s="12" t="s">
        <v>57</v>
      </c>
      <c r="P4" s="12" t="s">
        <v>57</v>
      </c>
    </row>
    <row r="5" spans="1:16" ht="45" customHeight="1">
      <c r="A5" s="12"/>
      <c r="B5" s="12" t="s">
        <v>17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82</v>
      </c>
      <c r="H5" s="12" t="s">
        <v>83</v>
      </c>
      <c r="I5" s="12" t="s">
        <v>84</v>
      </c>
      <c r="J5" s="12" t="s">
        <v>85</v>
      </c>
      <c r="K5" s="12" t="s">
        <v>86</v>
      </c>
      <c r="L5" s="12" t="s">
        <v>87</v>
      </c>
      <c r="M5" s="12" t="s">
        <v>57</v>
      </c>
      <c r="N5" s="12" t="s">
        <v>57</v>
      </c>
      <c r="O5" s="12" t="s">
        <v>57</v>
      </c>
      <c r="P5" s="12" t="s">
        <v>57</v>
      </c>
    </row>
    <row r="6" spans="1:16" ht="45" customHeight="1">
      <c r="A6" s="13" t="s">
        <v>18</v>
      </c>
      <c r="B6" s="12" t="s">
        <v>14</v>
      </c>
      <c r="C6" s="12" t="s">
        <v>88</v>
      </c>
      <c r="D6" s="12" t="s">
        <v>89</v>
      </c>
      <c r="E6" s="12" t="s">
        <v>90</v>
      </c>
      <c r="F6" s="12" t="s">
        <v>91</v>
      </c>
      <c r="G6" s="12" t="s">
        <v>92</v>
      </c>
      <c r="H6" s="12" t="s">
        <v>93</v>
      </c>
      <c r="I6" s="12" t="s">
        <v>94</v>
      </c>
      <c r="J6" s="12" t="s">
        <v>95</v>
      </c>
      <c r="K6" s="12" t="s">
        <v>96</v>
      </c>
      <c r="L6" s="12" t="s">
        <v>97</v>
      </c>
      <c r="M6" s="12" t="s">
        <v>57</v>
      </c>
      <c r="N6" s="12" t="s">
        <v>57</v>
      </c>
      <c r="O6" s="12" t="s">
        <v>57</v>
      </c>
      <c r="P6" s="12" t="s">
        <v>57</v>
      </c>
    </row>
    <row r="7" spans="1:16" ht="45" customHeight="1">
      <c r="A7" s="12"/>
      <c r="B7" s="12" t="s">
        <v>15</v>
      </c>
      <c r="C7" s="12" t="s">
        <v>98</v>
      </c>
      <c r="D7" s="12" t="s">
        <v>99</v>
      </c>
      <c r="E7" s="12" t="s">
        <v>100</v>
      </c>
      <c r="F7" s="12" t="s">
        <v>101</v>
      </c>
      <c r="G7" s="12" t="s">
        <v>102</v>
      </c>
      <c r="H7" s="12" t="s">
        <v>103</v>
      </c>
      <c r="I7" s="12" t="s">
        <v>104</v>
      </c>
      <c r="J7" s="12" t="s">
        <v>105</v>
      </c>
      <c r="K7" s="12" t="s">
        <v>106</v>
      </c>
      <c r="L7" s="12" t="s">
        <v>107</v>
      </c>
      <c r="M7" s="12" t="s">
        <v>57</v>
      </c>
      <c r="N7" s="12" t="s">
        <v>57</v>
      </c>
      <c r="O7" s="12" t="s">
        <v>57</v>
      </c>
      <c r="P7" s="12" t="s">
        <v>57</v>
      </c>
    </row>
    <row r="8" spans="1:16" ht="45" customHeight="1">
      <c r="A8" s="12"/>
      <c r="B8" s="12" t="s">
        <v>16</v>
      </c>
      <c r="C8" s="12" t="s">
        <v>108</v>
      </c>
      <c r="D8" s="12" t="s">
        <v>109</v>
      </c>
      <c r="E8" s="12" t="s">
        <v>110</v>
      </c>
      <c r="F8" s="12" t="s">
        <v>111</v>
      </c>
      <c r="G8" s="12" t="s">
        <v>112</v>
      </c>
      <c r="H8" s="12" t="s">
        <v>113</v>
      </c>
      <c r="I8" s="12" t="s">
        <v>114</v>
      </c>
      <c r="J8" s="12" t="s">
        <v>115</v>
      </c>
      <c r="K8" s="12" t="s">
        <v>116</v>
      </c>
      <c r="L8" s="12" t="s">
        <v>117</v>
      </c>
      <c r="M8" s="12" t="s">
        <v>57</v>
      </c>
      <c r="N8" s="12" t="s">
        <v>57</v>
      </c>
      <c r="O8" s="12" t="s">
        <v>57</v>
      </c>
      <c r="P8" s="12" t="s">
        <v>57</v>
      </c>
    </row>
    <row r="9" spans="1:16" ht="45" customHeight="1">
      <c r="A9" s="12"/>
      <c r="B9" s="12" t="s">
        <v>17</v>
      </c>
      <c r="C9" s="12" t="s">
        <v>118</v>
      </c>
      <c r="D9" s="12" t="s">
        <v>119</v>
      </c>
      <c r="E9" s="12" t="s">
        <v>120</v>
      </c>
      <c r="F9" s="12" t="s">
        <v>121</v>
      </c>
      <c r="G9" s="12" t="s">
        <v>122</v>
      </c>
      <c r="H9" s="12" t="s">
        <v>123</v>
      </c>
      <c r="I9" s="12" t="s">
        <v>124</v>
      </c>
      <c r="J9" s="12" t="s">
        <v>125</v>
      </c>
      <c r="K9" s="12" t="s">
        <v>126</v>
      </c>
      <c r="L9" s="12" t="s">
        <v>127</v>
      </c>
      <c r="M9" s="12" t="s">
        <v>57</v>
      </c>
      <c r="N9" s="12" t="s">
        <v>57</v>
      </c>
      <c r="O9" s="12" t="s">
        <v>57</v>
      </c>
      <c r="P9" s="12" t="s">
        <v>57</v>
      </c>
    </row>
    <row r="10" spans="1:16" ht="45" customHeight="1">
      <c r="A10" s="13" t="s">
        <v>46</v>
      </c>
      <c r="B10" s="12" t="s">
        <v>14</v>
      </c>
      <c r="C10" s="12" t="s">
        <v>128</v>
      </c>
      <c r="D10" s="12" t="s">
        <v>129</v>
      </c>
      <c r="E10" s="12" t="s">
        <v>130</v>
      </c>
      <c r="F10" s="12" t="s">
        <v>131</v>
      </c>
      <c r="G10" s="12" t="s">
        <v>132</v>
      </c>
      <c r="H10" s="12" t="s">
        <v>57</v>
      </c>
      <c r="I10" s="12" t="s">
        <v>57</v>
      </c>
      <c r="J10" s="12" t="s">
        <v>57</v>
      </c>
      <c r="K10" s="12" t="s">
        <v>57</v>
      </c>
      <c r="L10" s="12" t="s">
        <v>57</v>
      </c>
      <c r="M10" s="12" t="s">
        <v>57</v>
      </c>
      <c r="N10" s="12" t="s">
        <v>57</v>
      </c>
      <c r="O10" s="12" t="s">
        <v>57</v>
      </c>
      <c r="P10" s="12" t="s">
        <v>57</v>
      </c>
    </row>
    <row r="11" spans="1:16" ht="45" customHeight="1">
      <c r="A11" s="12"/>
      <c r="B11" s="12" t="s">
        <v>15</v>
      </c>
      <c r="C11" s="12" t="s">
        <v>133</v>
      </c>
      <c r="D11" s="12" t="s">
        <v>134</v>
      </c>
      <c r="E11" s="12" t="s">
        <v>135</v>
      </c>
      <c r="F11" s="12" t="s">
        <v>136</v>
      </c>
      <c r="G11" s="12" t="s">
        <v>137</v>
      </c>
      <c r="H11" s="12" t="s">
        <v>57</v>
      </c>
      <c r="I11" s="12" t="s">
        <v>57</v>
      </c>
      <c r="J11" s="12" t="s">
        <v>57</v>
      </c>
      <c r="K11" s="12" t="s">
        <v>57</v>
      </c>
      <c r="L11" s="12" t="s">
        <v>57</v>
      </c>
      <c r="M11" s="12" t="s">
        <v>57</v>
      </c>
      <c r="N11" s="12" t="s">
        <v>57</v>
      </c>
      <c r="O11" s="12" t="s">
        <v>57</v>
      </c>
      <c r="P11" s="12" t="s">
        <v>57</v>
      </c>
    </row>
    <row r="12" spans="1:16" ht="45" customHeight="1">
      <c r="A12" s="12"/>
      <c r="B12" s="12" t="s">
        <v>16</v>
      </c>
      <c r="C12" s="12" t="s">
        <v>138</v>
      </c>
      <c r="D12" s="12" t="s">
        <v>139</v>
      </c>
      <c r="E12" s="12" t="s">
        <v>140</v>
      </c>
      <c r="F12" s="12" t="s">
        <v>141</v>
      </c>
      <c r="G12" s="12" t="s">
        <v>142</v>
      </c>
      <c r="H12" s="12" t="s">
        <v>57</v>
      </c>
      <c r="I12" s="12" t="s">
        <v>57</v>
      </c>
      <c r="J12" s="12" t="s">
        <v>57</v>
      </c>
      <c r="K12" s="12" t="s">
        <v>57</v>
      </c>
      <c r="L12" s="12" t="s">
        <v>57</v>
      </c>
      <c r="M12" s="12" t="s">
        <v>57</v>
      </c>
      <c r="N12" s="12" t="s">
        <v>57</v>
      </c>
      <c r="O12" s="12" t="s">
        <v>57</v>
      </c>
      <c r="P12" s="12" t="s">
        <v>57</v>
      </c>
    </row>
    <row r="13" spans="1:16" ht="45" customHeight="1">
      <c r="A13" s="12"/>
      <c r="B13" s="12" t="s">
        <v>17</v>
      </c>
      <c r="C13" s="12" t="s">
        <v>143</v>
      </c>
      <c r="D13" s="12" t="s">
        <v>144</v>
      </c>
      <c r="E13" s="12" t="s">
        <v>145</v>
      </c>
      <c r="F13" s="12" t="s">
        <v>146</v>
      </c>
      <c r="G13" s="12" t="s">
        <v>147</v>
      </c>
      <c r="H13" s="12" t="s">
        <v>57</v>
      </c>
      <c r="I13" s="12" t="s">
        <v>57</v>
      </c>
      <c r="J13" s="12" t="s">
        <v>57</v>
      </c>
      <c r="K13" s="12" t="s">
        <v>57</v>
      </c>
      <c r="L13" s="12" t="s">
        <v>57</v>
      </c>
      <c r="M13" s="12" t="s">
        <v>57</v>
      </c>
      <c r="N13" s="12" t="s">
        <v>57</v>
      </c>
      <c r="O13" s="12" t="s">
        <v>57</v>
      </c>
      <c r="P13" s="12" t="s">
        <v>57</v>
      </c>
    </row>
    <row r="14" spans="1:16" ht="45" customHeight="1"/>
    <row r="18" spans="1:1">
      <c r="A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4831-16BB-4F66-B183-ED27D39F9D6C}">
  <dimension ref="A1:X18"/>
  <sheetViews>
    <sheetView topLeftCell="Q1" zoomScale="95" zoomScaleNormal="95" workbookViewId="0">
      <selection activeCell="B3" sqref="B3:B6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4">
      <c r="A1" s="16" t="s">
        <v>0</v>
      </c>
      <c r="B1" s="17" t="s">
        <v>1</v>
      </c>
      <c r="C1" s="18" t="s">
        <v>148</v>
      </c>
      <c r="D1" s="18"/>
      <c r="E1" s="18"/>
      <c r="F1" s="18"/>
      <c r="G1" s="18"/>
      <c r="H1" s="18"/>
      <c r="I1" s="18"/>
      <c r="J1" s="18" t="s">
        <v>149</v>
      </c>
      <c r="K1" s="18"/>
      <c r="L1" s="18"/>
      <c r="M1" s="18"/>
      <c r="N1" s="18"/>
      <c r="O1" s="18"/>
      <c r="P1" s="18"/>
      <c r="Q1" s="18" t="s">
        <v>150</v>
      </c>
      <c r="R1" s="18"/>
      <c r="S1" s="18"/>
      <c r="T1" s="18"/>
      <c r="U1" s="18"/>
      <c r="V1" s="18"/>
      <c r="W1" s="18"/>
    </row>
    <row r="2" spans="1:24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4" ht="45" customHeight="1">
      <c r="A3" s="15" t="s">
        <v>13</v>
      </c>
      <c r="B3" t="s">
        <v>16</v>
      </c>
      <c r="C3" s="14" t="s">
        <v>151</v>
      </c>
      <c r="D3" s="8" t="s">
        <v>152</v>
      </c>
      <c r="F3" s="4" t="s">
        <v>153</v>
      </c>
      <c r="G3" s="4" t="s">
        <v>153</v>
      </c>
      <c r="H3" s="4"/>
      <c r="I3" s="4"/>
      <c r="J3" s="4" t="s">
        <v>154</v>
      </c>
      <c r="K3" s="4" t="s">
        <v>154</v>
      </c>
      <c r="L3" s="4"/>
      <c r="M3" s="4"/>
      <c r="N3" s="3"/>
      <c r="O3" s="4"/>
      <c r="P3" s="4"/>
      <c r="Q3" s="4"/>
      <c r="R3" s="4"/>
      <c r="S3" s="4"/>
      <c r="T3" s="4"/>
      <c r="U3" s="3"/>
      <c r="V3" s="4"/>
      <c r="W3" s="4" t="s">
        <v>155</v>
      </c>
      <c r="X3" s="4"/>
    </row>
    <row r="4" spans="1:24" ht="45" customHeight="1">
      <c r="A4" s="15"/>
      <c r="B4" t="s">
        <v>15</v>
      </c>
      <c r="C4" s="14" t="s">
        <v>151</v>
      </c>
      <c r="D4" s="8" t="s">
        <v>152</v>
      </c>
      <c r="F4" s="4" t="s">
        <v>153</v>
      </c>
      <c r="G4" s="4" t="s">
        <v>153</v>
      </c>
      <c r="H4" s="3"/>
      <c r="I4" s="4"/>
      <c r="J4" s="3"/>
      <c r="K4" s="3"/>
      <c r="L4" s="4" t="s">
        <v>156</v>
      </c>
      <c r="M4" s="4" t="s">
        <v>156</v>
      </c>
      <c r="N4" s="4" t="s">
        <v>156</v>
      </c>
      <c r="O4" s="4" t="s">
        <v>156</v>
      </c>
      <c r="P4" s="4"/>
      <c r="Q4" s="3"/>
      <c r="R4" s="3"/>
      <c r="S4" s="3"/>
      <c r="T4" s="3"/>
      <c r="U4" s="4" t="s">
        <v>157</v>
      </c>
      <c r="V4" s="4" t="s">
        <v>157</v>
      </c>
      <c r="W4" s="4" t="s">
        <v>155</v>
      </c>
      <c r="X4" s="3"/>
    </row>
    <row r="5" spans="1:24" ht="45" customHeight="1">
      <c r="A5" s="15"/>
      <c r="B5" t="s">
        <v>17</v>
      </c>
      <c r="C5" s="14" t="s">
        <v>151</v>
      </c>
      <c r="D5" s="8" t="s">
        <v>152</v>
      </c>
      <c r="F5" s="4" t="s">
        <v>153</v>
      </c>
      <c r="G5" s="4" t="s">
        <v>153</v>
      </c>
      <c r="H5" s="3" t="s">
        <v>158</v>
      </c>
      <c r="I5" s="3" t="s">
        <v>158</v>
      </c>
      <c r="J5" s="3"/>
      <c r="K5" s="3"/>
      <c r="L5" s="3"/>
      <c r="M5" s="3"/>
      <c r="N5" s="3"/>
      <c r="O5" s="4"/>
      <c r="P5" s="3" t="s">
        <v>159</v>
      </c>
      <c r="Q5" s="3"/>
      <c r="R5" s="3"/>
      <c r="S5" s="3"/>
      <c r="T5" s="3"/>
      <c r="U5" s="4"/>
      <c r="W5" s="4" t="s">
        <v>155</v>
      </c>
      <c r="X5" s="3"/>
    </row>
    <row r="6" spans="1:24" ht="45" customHeight="1">
      <c r="A6" s="19"/>
      <c r="B6" t="s">
        <v>14</v>
      </c>
      <c r="C6" s="14" t="s">
        <v>151</v>
      </c>
      <c r="D6" s="8" t="s">
        <v>152</v>
      </c>
      <c r="F6" s="4" t="s">
        <v>153</v>
      </c>
      <c r="G6" s="4" t="s">
        <v>153</v>
      </c>
      <c r="H6" s="6"/>
      <c r="I6" s="5"/>
      <c r="J6" s="5"/>
      <c r="K6" s="6"/>
      <c r="L6" s="5"/>
      <c r="M6" s="7"/>
      <c r="N6" s="6"/>
      <c r="O6" s="6"/>
      <c r="P6" s="5"/>
      <c r="Q6" s="6" t="s">
        <v>160</v>
      </c>
      <c r="R6" s="6" t="s">
        <v>160</v>
      </c>
      <c r="S6" s="6" t="s">
        <v>160</v>
      </c>
      <c r="T6" s="6" t="s">
        <v>160</v>
      </c>
      <c r="U6" s="6"/>
      <c r="V6" s="6"/>
      <c r="W6" s="4" t="s">
        <v>155</v>
      </c>
      <c r="X6" s="6"/>
    </row>
    <row r="7" spans="1:24" ht="45" customHeight="1">
      <c r="A7" s="15" t="s">
        <v>18</v>
      </c>
      <c r="B7" t="s">
        <v>16</v>
      </c>
      <c r="C7" s="8" t="s">
        <v>152</v>
      </c>
      <c r="D7" s="4" t="s">
        <v>153</v>
      </c>
      <c r="E7" s="4" t="s">
        <v>153</v>
      </c>
      <c r="F7" s="4" t="s">
        <v>153</v>
      </c>
      <c r="G7" s="4"/>
      <c r="H7" s="4"/>
      <c r="I7" s="4" t="s">
        <v>154</v>
      </c>
      <c r="J7" s="4" t="s">
        <v>154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 t="s">
        <v>155</v>
      </c>
      <c r="W7" s="4" t="s">
        <v>161</v>
      </c>
    </row>
    <row r="8" spans="1:24" ht="45" customHeight="1">
      <c r="A8" s="15"/>
      <c r="B8" t="s">
        <v>15</v>
      </c>
      <c r="C8" s="8" t="s">
        <v>161</v>
      </c>
      <c r="D8" s="4" t="s">
        <v>153</v>
      </c>
      <c r="E8" s="4" t="s">
        <v>153</v>
      </c>
      <c r="F8" s="4" t="s">
        <v>153</v>
      </c>
      <c r="G8" s="4"/>
      <c r="H8" s="3"/>
      <c r="I8" s="3"/>
      <c r="J8" s="3"/>
      <c r="K8" s="4" t="s">
        <v>156</v>
      </c>
      <c r="L8" s="4" t="s">
        <v>156</v>
      </c>
      <c r="M8" s="4" t="s">
        <v>156</v>
      </c>
      <c r="N8" s="4" t="s">
        <v>156</v>
      </c>
      <c r="O8" s="3"/>
      <c r="P8" s="3"/>
      <c r="Q8" s="3"/>
      <c r="R8" s="4"/>
      <c r="S8" s="3"/>
      <c r="T8" s="4" t="s">
        <v>157</v>
      </c>
      <c r="U8" s="4" t="s">
        <v>157</v>
      </c>
      <c r="V8" s="3" t="s">
        <v>155</v>
      </c>
      <c r="W8" s="4" t="s">
        <v>162</v>
      </c>
    </row>
    <row r="9" spans="1:24" ht="45" customHeight="1">
      <c r="A9" s="15"/>
      <c r="B9" t="s">
        <v>17</v>
      </c>
      <c r="C9" s="8" t="s">
        <v>162</v>
      </c>
      <c r="D9" s="4" t="s">
        <v>153</v>
      </c>
      <c r="E9" s="4" t="s">
        <v>153</v>
      </c>
      <c r="F9" s="4" t="s">
        <v>153</v>
      </c>
      <c r="G9" s="3" t="s">
        <v>158</v>
      </c>
      <c r="H9" s="3" t="s">
        <v>158</v>
      </c>
      <c r="I9" s="3"/>
      <c r="J9" s="3"/>
      <c r="K9" s="3"/>
      <c r="L9" s="4"/>
      <c r="M9" s="4"/>
      <c r="N9" s="3"/>
      <c r="O9" s="3" t="s">
        <v>159</v>
      </c>
      <c r="P9" s="3"/>
      <c r="Q9" s="3"/>
      <c r="R9" s="3"/>
      <c r="S9" s="4"/>
      <c r="T9" s="4"/>
      <c r="U9" s="3"/>
      <c r="V9" s="3" t="s">
        <v>155</v>
      </c>
      <c r="W9" s="4" t="s">
        <v>163</v>
      </c>
    </row>
    <row r="10" spans="1:24" ht="45" customHeight="1">
      <c r="A10" s="19"/>
      <c r="B10" t="s">
        <v>14</v>
      </c>
      <c r="C10" s="8" t="s">
        <v>163</v>
      </c>
      <c r="D10" s="4" t="s">
        <v>153</v>
      </c>
      <c r="E10" s="4" t="s">
        <v>153</v>
      </c>
      <c r="F10" s="4" t="s">
        <v>153</v>
      </c>
      <c r="G10" s="5"/>
      <c r="H10" s="6"/>
      <c r="I10" s="6"/>
      <c r="J10" s="6"/>
      <c r="K10" s="6"/>
      <c r="L10" s="6"/>
      <c r="M10" s="6"/>
      <c r="N10" s="5"/>
      <c r="O10" s="6"/>
      <c r="P10" s="6" t="s">
        <v>160</v>
      </c>
      <c r="Q10" s="6" t="s">
        <v>160</v>
      </c>
      <c r="R10" s="6" t="s">
        <v>160</v>
      </c>
      <c r="S10" s="6" t="s">
        <v>160</v>
      </c>
      <c r="T10" s="6"/>
      <c r="U10" s="5"/>
      <c r="V10" s="6" t="s">
        <v>155</v>
      </c>
      <c r="W10" s="4" t="s">
        <v>164</v>
      </c>
    </row>
    <row r="11" spans="1:24" ht="45" customHeight="1">
      <c r="A11" s="15" t="s">
        <v>46</v>
      </c>
      <c r="C11" s="8" t="s">
        <v>165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4" ht="45" customHeight="1">
      <c r="A12" s="15"/>
      <c r="C12" s="8" t="s">
        <v>165</v>
      </c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4" ht="45" customHeight="1">
      <c r="A13" s="15"/>
      <c r="C13" s="8" t="s">
        <v>165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4" ht="45" customHeight="1">
      <c r="A14" s="15"/>
      <c r="C14" s="8" t="s">
        <v>165</v>
      </c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98A1-D2A9-43C6-B11C-35A3D2BF2CAF}">
  <dimension ref="A1:W18"/>
  <sheetViews>
    <sheetView tabSelected="1" topLeftCell="R4" zoomScale="95" zoomScaleNormal="95" workbookViewId="0">
      <selection activeCell="U8" sqref="U8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3">
      <c r="A1" s="16" t="s">
        <v>0</v>
      </c>
      <c r="B1" s="17" t="s">
        <v>1</v>
      </c>
      <c r="C1" s="18" t="s">
        <v>166</v>
      </c>
      <c r="D1" s="18"/>
      <c r="E1" s="18"/>
      <c r="F1" s="18"/>
      <c r="G1" s="18"/>
      <c r="H1" s="18"/>
      <c r="I1" s="18"/>
      <c r="J1" s="18" t="s">
        <v>167</v>
      </c>
      <c r="K1" s="18"/>
      <c r="L1" s="18"/>
      <c r="M1" s="18"/>
      <c r="N1" s="18"/>
      <c r="O1" s="18"/>
      <c r="P1" s="18"/>
      <c r="Q1" s="18" t="s">
        <v>168</v>
      </c>
      <c r="R1" s="18"/>
      <c r="S1" s="18"/>
      <c r="T1" s="18"/>
      <c r="U1" s="18"/>
      <c r="V1" s="18"/>
      <c r="W1" s="18"/>
    </row>
    <row r="2" spans="1:23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3" ht="45" customHeight="1">
      <c r="A3" s="15" t="s">
        <v>13</v>
      </c>
      <c r="B3" t="s">
        <v>16</v>
      </c>
      <c r="C3" s="3"/>
      <c r="D3" s="4"/>
      <c r="E3" s="4"/>
      <c r="F3" s="4"/>
      <c r="G3" s="4"/>
      <c r="H3" s="4"/>
      <c r="I3" s="4"/>
      <c r="J3" s="4"/>
      <c r="K3" s="3" t="s">
        <v>169</v>
      </c>
      <c r="L3" s="3"/>
      <c r="M3" s="4"/>
      <c r="N3" s="4" t="s">
        <v>170</v>
      </c>
      <c r="O3" s="4"/>
      <c r="P3" s="4"/>
      <c r="Q3" s="4"/>
      <c r="R3" s="4"/>
      <c r="S3" s="4" t="s">
        <v>170</v>
      </c>
      <c r="T3" s="4" t="s">
        <v>171</v>
      </c>
      <c r="U3" s="4" t="s">
        <v>170</v>
      </c>
      <c r="V3" s="4"/>
      <c r="W3" s="4" t="s">
        <v>171</v>
      </c>
    </row>
    <row r="4" spans="1:23" ht="45" customHeight="1">
      <c r="A4" s="15"/>
      <c r="B4" t="s">
        <v>15</v>
      </c>
      <c r="C4" s="3"/>
      <c r="D4" s="3"/>
      <c r="E4" s="3"/>
      <c r="F4" s="3"/>
      <c r="G4" s="4"/>
      <c r="H4" s="3"/>
      <c r="I4" s="3"/>
      <c r="J4" s="3"/>
      <c r="K4" s="3" t="s">
        <v>169</v>
      </c>
      <c r="L4" s="3"/>
      <c r="M4" s="4"/>
      <c r="N4" s="4" t="s">
        <v>170</v>
      </c>
      <c r="O4" s="3"/>
      <c r="P4" s="3" t="s">
        <v>172</v>
      </c>
      <c r="Q4" s="3"/>
      <c r="R4" s="3"/>
      <c r="S4" s="4" t="s">
        <v>170</v>
      </c>
      <c r="T4" s="4"/>
      <c r="U4" s="4" t="s">
        <v>170</v>
      </c>
      <c r="V4" s="3" t="s">
        <v>173</v>
      </c>
      <c r="W4" s="3" t="s">
        <v>172</v>
      </c>
    </row>
    <row r="5" spans="1:23" ht="45" customHeight="1">
      <c r="A5" s="15"/>
      <c r="B5" t="s">
        <v>17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 t="s">
        <v>170</v>
      </c>
      <c r="O5" s="3"/>
      <c r="P5" s="3" t="s">
        <v>174</v>
      </c>
      <c r="Q5" s="3"/>
      <c r="R5" s="3"/>
      <c r="S5" s="4" t="s">
        <v>170</v>
      </c>
      <c r="T5" s="4"/>
      <c r="U5" s="4" t="s">
        <v>170</v>
      </c>
      <c r="V5" s="3"/>
      <c r="W5" s="3" t="s">
        <v>174</v>
      </c>
    </row>
    <row r="6" spans="1:23" ht="45" customHeight="1">
      <c r="A6" s="19"/>
      <c r="B6" t="s">
        <v>14</v>
      </c>
      <c r="C6" s="5"/>
      <c r="D6" s="6"/>
      <c r="E6" s="6"/>
      <c r="F6" s="6"/>
      <c r="G6" s="5"/>
      <c r="H6" s="5"/>
      <c r="I6" s="6"/>
      <c r="J6" s="5"/>
      <c r="K6" s="3" t="s">
        <v>169</v>
      </c>
      <c r="L6" s="6"/>
      <c r="M6" s="6"/>
      <c r="N6" s="4" t="s">
        <v>170</v>
      </c>
      <c r="O6" s="5"/>
      <c r="P6" s="6"/>
      <c r="Q6" s="5"/>
      <c r="R6" s="7"/>
      <c r="S6" s="4" t="s">
        <v>170</v>
      </c>
      <c r="T6" s="6"/>
      <c r="U6" s="4" t="s">
        <v>170</v>
      </c>
      <c r="V6" s="5"/>
      <c r="W6" s="6"/>
    </row>
    <row r="7" spans="1:23" ht="45" customHeight="1">
      <c r="A7" s="15" t="s">
        <v>18</v>
      </c>
      <c r="B7" t="s">
        <v>16</v>
      </c>
      <c r="C7" s="4"/>
      <c r="D7" s="4"/>
      <c r="E7" s="4"/>
      <c r="F7" s="4"/>
      <c r="G7" s="4"/>
      <c r="H7" s="4"/>
      <c r="I7" s="4"/>
      <c r="J7" s="3" t="s">
        <v>175</v>
      </c>
      <c r="K7" s="4"/>
      <c r="L7" s="4"/>
      <c r="M7" s="4" t="s">
        <v>176</v>
      </c>
      <c r="N7" s="4"/>
      <c r="O7" s="4"/>
      <c r="P7" s="4"/>
      <c r="Q7" s="4"/>
      <c r="R7" s="3" t="s">
        <v>177</v>
      </c>
      <c r="S7" s="4" t="s">
        <v>178</v>
      </c>
      <c r="T7" s="4" t="s">
        <v>176</v>
      </c>
      <c r="U7" s="4"/>
      <c r="V7" s="4" t="s">
        <v>179</v>
      </c>
      <c r="W7" s="3" t="s">
        <v>180</v>
      </c>
    </row>
    <row r="8" spans="1:23" ht="45" customHeight="1">
      <c r="A8" s="15"/>
      <c r="B8" t="s">
        <v>15</v>
      </c>
      <c r="C8" s="3"/>
      <c r="D8" s="4"/>
      <c r="E8" s="4"/>
      <c r="F8" s="3"/>
      <c r="G8" s="4"/>
      <c r="H8" s="3"/>
      <c r="I8" s="3"/>
      <c r="J8" s="3" t="s">
        <v>175</v>
      </c>
      <c r="K8" s="4"/>
      <c r="L8" s="3"/>
      <c r="M8" s="4" t="s">
        <v>176</v>
      </c>
      <c r="N8" s="4"/>
      <c r="O8" s="3" t="s">
        <v>181</v>
      </c>
      <c r="P8" s="3"/>
      <c r="Q8" s="3"/>
      <c r="R8" s="4" t="s">
        <v>176</v>
      </c>
      <c r="S8" s="3"/>
      <c r="T8" s="4" t="s">
        <v>176</v>
      </c>
      <c r="U8" s="3" t="s">
        <v>182</v>
      </c>
      <c r="V8" s="3" t="s">
        <v>183</v>
      </c>
      <c r="W8" s="3"/>
    </row>
    <row r="9" spans="1:23" ht="45" customHeight="1">
      <c r="A9" s="15"/>
      <c r="B9" t="s">
        <v>17</v>
      </c>
      <c r="C9" s="3"/>
      <c r="D9" s="3"/>
      <c r="E9" s="3"/>
      <c r="F9" s="3"/>
      <c r="G9" s="3"/>
      <c r="H9" s="3"/>
      <c r="I9" s="3"/>
      <c r="J9" s="3"/>
      <c r="K9" s="3"/>
      <c r="L9" s="4"/>
      <c r="M9" s="4" t="s">
        <v>176</v>
      </c>
      <c r="N9" s="3"/>
      <c r="O9" s="3"/>
      <c r="P9" s="3"/>
      <c r="Q9" s="3"/>
      <c r="R9" s="4" t="s">
        <v>176</v>
      </c>
      <c r="S9" s="4"/>
      <c r="T9" s="4" t="s">
        <v>176</v>
      </c>
      <c r="U9" s="3"/>
      <c r="V9" s="3"/>
      <c r="W9" s="3"/>
    </row>
    <row r="10" spans="1:23" ht="45" customHeight="1">
      <c r="A10" s="19"/>
      <c r="B10" t="s">
        <v>14</v>
      </c>
      <c r="C10" s="6"/>
      <c r="D10" s="6"/>
      <c r="E10" s="5"/>
      <c r="F10" s="5"/>
      <c r="G10" s="5"/>
      <c r="H10" s="6"/>
      <c r="I10" s="6"/>
      <c r="J10" s="3" t="s">
        <v>175</v>
      </c>
      <c r="K10" s="6"/>
      <c r="L10" s="6"/>
      <c r="M10" s="4" t="s">
        <v>176</v>
      </c>
      <c r="N10" s="5"/>
      <c r="O10" s="5" t="s">
        <v>184</v>
      </c>
      <c r="P10" s="6"/>
      <c r="Q10" s="6"/>
      <c r="R10" s="4" t="s">
        <v>176</v>
      </c>
      <c r="S10" s="6"/>
      <c r="T10" s="4" t="s">
        <v>176</v>
      </c>
      <c r="U10" s="5"/>
      <c r="V10" s="6" t="s">
        <v>185</v>
      </c>
      <c r="W10" s="6"/>
    </row>
    <row r="11" spans="1:23" ht="45" customHeight="1">
      <c r="A11" s="15" t="s">
        <v>46</v>
      </c>
      <c r="B11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5" customHeight="1">
      <c r="A12" s="15"/>
      <c r="B12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3" ht="45" customHeight="1">
      <c r="A13" s="15"/>
      <c r="B13" t="s">
        <v>17</v>
      </c>
      <c r="C13" s="4"/>
      <c r="D13" s="3"/>
      <c r="E13" s="3"/>
      <c r="F13" s="3"/>
      <c r="G13" s="3"/>
      <c r="H13" s="3"/>
      <c r="I13" s="3"/>
      <c r="J13" s="3" t="s">
        <v>186</v>
      </c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3" ht="45" customHeight="1">
      <c r="A14" s="15"/>
      <c r="B14" t="s">
        <v>14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66C-4591-45C4-A18B-375EC7C237DC}">
  <dimension ref="A1:P18"/>
  <sheetViews>
    <sheetView zoomScale="95" zoomScaleNormal="95" workbookViewId="0">
      <selection activeCell="B3" sqref="B3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187</v>
      </c>
      <c r="D1" s="18"/>
      <c r="E1" s="18"/>
      <c r="F1" s="18"/>
      <c r="G1" s="18"/>
      <c r="H1" s="18"/>
      <c r="I1" s="18"/>
      <c r="J1" s="18" t="s">
        <v>187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/>
      <c r="C3" s="3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4"/>
    </row>
    <row r="4" spans="1:16" ht="45" customHeight="1">
      <c r="A4" s="15"/>
      <c r="B4" s="8"/>
      <c r="C4" s="3"/>
      <c r="D4" s="3"/>
      <c r="E4" s="3"/>
      <c r="F4" s="3"/>
      <c r="G4" s="4"/>
      <c r="H4" s="3"/>
      <c r="I4" s="3"/>
      <c r="J4" s="3"/>
      <c r="K4" s="3"/>
      <c r="L4" s="3"/>
      <c r="M4" s="4"/>
      <c r="N4" s="4"/>
      <c r="O4" s="3"/>
      <c r="P4" s="3"/>
    </row>
    <row r="5" spans="1:16" ht="45" customHeight="1">
      <c r="A5" s="15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3"/>
      <c r="P5" s="3"/>
    </row>
    <row r="6" spans="1:16" ht="45" customHeight="1">
      <c r="A6" s="19"/>
      <c r="B6" s="9"/>
      <c r="C6" s="5"/>
      <c r="D6" s="6"/>
      <c r="E6" s="6"/>
      <c r="F6" s="6"/>
      <c r="G6" s="5"/>
      <c r="H6" s="5"/>
      <c r="I6" s="6"/>
      <c r="J6" s="5"/>
      <c r="K6" s="7"/>
      <c r="L6" s="6"/>
      <c r="M6" s="6"/>
      <c r="N6" s="5"/>
      <c r="O6" s="5"/>
      <c r="P6" s="6"/>
    </row>
    <row r="7" spans="1:16" ht="45" customHeight="1">
      <c r="A7" s="15" t="s">
        <v>18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45" customHeight="1">
      <c r="A8" s="15"/>
      <c r="B8" s="8"/>
      <c r="C8" s="3"/>
      <c r="D8" s="4"/>
      <c r="E8" s="4"/>
      <c r="F8" s="3"/>
      <c r="G8" s="4"/>
      <c r="H8" s="3"/>
      <c r="I8" s="3"/>
      <c r="J8" s="3"/>
      <c r="K8" s="4"/>
      <c r="L8" s="3"/>
      <c r="M8" s="4"/>
      <c r="N8" s="4"/>
      <c r="O8" s="3"/>
      <c r="P8" s="3"/>
    </row>
    <row r="9" spans="1:16" ht="45" customHeight="1">
      <c r="A9" s="15"/>
      <c r="B9" s="8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3"/>
      <c r="O9" s="3"/>
      <c r="P9" s="3"/>
    </row>
    <row r="10" spans="1:16" ht="45" customHeight="1">
      <c r="A10" s="19"/>
      <c r="B10" s="9"/>
      <c r="C10" s="6"/>
      <c r="D10" s="6"/>
      <c r="E10" s="5"/>
      <c r="F10" s="5"/>
      <c r="G10" s="5"/>
      <c r="H10" s="6"/>
      <c r="I10" s="6"/>
      <c r="J10" s="6"/>
      <c r="K10" s="6"/>
      <c r="L10" s="6"/>
      <c r="M10" s="6"/>
      <c r="N10" s="5"/>
      <c r="O10" s="6"/>
      <c r="P10" s="6"/>
    </row>
    <row r="11" spans="1:16" ht="45" customHeight="1">
      <c r="A11" s="15" t="s">
        <v>46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/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/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8"/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E4E3-4E8C-4CF3-935D-DD4E584B57F8}">
  <dimension ref="A1:P18"/>
  <sheetViews>
    <sheetView zoomScale="95" zoomScaleNormal="95" workbookViewId="0">
      <selection activeCell="B3" sqref="B3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187</v>
      </c>
      <c r="D1" s="18"/>
      <c r="E1" s="18"/>
      <c r="F1" s="18"/>
      <c r="G1" s="18"/>
      <c r="H1" s="18"/>
      <c r="I1" s="18"/>
      <c r="J1" s="18" t="s">
        <v>187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/>
      <c r="C3" s="3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4"/>
    </row>
    <row r="4" spans="1:16" ht="45" customHeight="1">
      <c r="A4" s="15"/>
      <c r="B4" s="8"/>
      <c r="C4" s="3"/>
      <c r="D4" s="3"/>
      <c r="E4" s="3"/>
      <c r="F4" s="3"/>
      <c r="G4" s="4"/>
      <c r="H4" s="3"/>
      <c r="I4" s="3"/>
      <c r="J4" s="3"/>
      <c r="K4" s="3"/>
      <c r="L4" s="3"/>
      <c r="M4" s="4"/>
      <c r="N4" s="4"/>
      <c r="O4" s="3"/>
      <c r="P4" s="3"/>
    </row>
    <row r="5" spans="1:16" ht="45" customHeight="1">
      <c r="A5" s="15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3"/>
      <c r="P5" s="3"/>
    </row>
    <row r="6" spans="1:16" ht="45" customHeight="1">
      <c r="A6" s="19"/>
      <c r="B6" s="9"/>
      <c r="C6" s="5"/>
      <c r="D6" s="6"/>
      <c r="E6" s="6"/>
      <c r="F6" s="6"/>
      <c r="G6" s="5"/>
      <c r="H6" s="5"/>
      <c r="I6" s="6"/>
      <c r="J6" s="5"/>
      <c r="K6" s="7"/>
      <c r="L6" s="6"/>
      <c r="M6" s="6"/>
      <c r="N6" s="5"/>
      <c r="O6" s="5"/>
      <c r="P6" s="6"/>
    </row>
    <row r="7" spans="1:16" ht="45" customHeight="1">
      <c r="A7" s="15" t="s">
        <v>18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45" customHeight="1">
      <c r="A8" s="15"/>
      <c r="B8" s="8"/>
      <c r="C8" s="3"/>
      <c r="D8" s="4"/>
      <c r="E8" s="4"/>
      <c r="F8" s="3"/>
      <c r="G8" s="4"/>
      <c r="H8" s="3"/>
      <c r="I8" s="3"/>
      <c r="J8" s="3"/>
      <c r="K8" s="4"/>
      <c r="L8" s="3"/>
      <c r="M8" s="4"/>
      <c r="N8" s="4"/>
      <c r="O8" s="3"/>
      <c r="P8" s="3"/>
    </row>
    <row r="9" spans="1:16" ht="45" customHeight="1">
      <c r="A9" s="15"/>
      <c r="B9" s="8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3"/>
      <c r="O9" s="3"/>
      <c r="P9" s="3"/>
    </row>
    <row r="10" spans="1:16" ht="45" customHeight="1">
      <c r="A10" s="19"/>
      <c r="B10" s="9"/>
      <c r="C10" s="6"/>
      <c r="D10" s="6"/>
      <c r="E10" s="5"/>
      <c r="F10" s="5"/>
      <c r="G10" s="5"/>
      <c r="H10" s="6"/>
      <c r="I10" s="6"/>
      <c r="J10" s="6"/>
      <c r="K10" s="6"/>
      <c r="L10" s="6"/>
      <c r="M10" s="6"/>
      <c r="N10" s="5"/>
      <c r="O10" s="6"/>
      <c r="P10" s="6"/>
    </row>
    <row r="11" spans="1:16" ht="45" customHeight="1">
      <c r="A11" s="15" t="s">
        <v>46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/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/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8"/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4A006F-5E56-4470-AA47-B3E27C04762E}"/>
</file>

<file path=customXml/itemProps2.xml><?xml version="1.0" encoding="utf-8"?>
<ds:datastoreItem xmlns:ds="http://schemas.openxmlformats.org/officeDocument/2006/customXml" ds:itemID="{C05DFF86-EFEF-4F94-88FC-6D8A6F89AFC2}"/>
</file>

<file path=customXml/itemProps3.xml><?xml version="1.0" encoding="utf-8"?>
<ds:datastoreItem xmlns:ds="http://schemas.openxmlformats.org/officeDocument/2006/customXml" ds:itemID="{1C322C5C-C623-44FC-B5C5-284C8147B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Interweb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Kistenev</dc:creator>
  <cp:keywords/>
  <dc:description/>
  <cp:lastModifiedBy>Ingalls, Jackson Lee</cp:lastModifiedBy>
  <cp:revision/>
  <dcterms:created xsi:type="dcterms:W3CDTF">2018-08-15T05:44:23Z</dcterms:created>
  <dcterms:modified xsi:type="dcterms:W3CDTF">2025-04-08T01:35:30Z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